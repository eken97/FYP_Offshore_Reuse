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ccireland-my.sharepoint.com/personal/125126893_umail_ucc_ie/Documents/Masters/OpenFast/Simulation/Postprocessing/results/real_campaign/"/>
    </mc:Choice>
  </mc:AlternateContent>
  <xr:revisionPtr revIDLastSave="318" documentId="8_{338C9D86-E7F9-4A45-92B7-4C8878EB967E}" xr6:coauthVersionLast="47" xr6:coauthVersionMax="47" xr10:uidLastSave="{E57F3147-C4CF-4672-94E8-B85CAA7B3664}"/>
  <bookViews>
    <workbookView minimized="1" xWindow="1560" yWindow="1560" windowWidth="21600" windowHeight="11295" activeTab="2" xr2:uid="{00000000-000D-0000-FFFF-FFFF00000000}"/>
  </bookViews>
  <sheets>
    <sheet name="members_full" sheetId="1" r:id="rId1"/>
    <sheet name="carbon_input" sheetId="2" r:id="rId2"/>
    <sheet name="Calculations" sheetId="4" r:id="rId3"/>
    <sheet name="not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4" l="1"/>
  <c r="AA4" i="4"/>
  <c r="AB4" i="4" s="1"/>
  <c r="C35" i="4" s="1"/>
  <c r="C36" i="4"/>
  <c r="AH98" i="4"/>
  <c r="AI98" i="4"/>
  <c r="AJ98" i="4"/>
  <c r="AK98" i="4"/>
  <c r="AH99" i="4"/>
  <c r="AI99" i="4"/>
  <c r="AJ99" i="4"/>
  <c r="AK99" i="4"/>
  <c r="AH100" i="4"/>
  <c r="AI100" i="4"/>
  <c r="AJ100" i="4"/>
  <c r="AK100" i="4"/>
  <c r="AH101" i="4"/>
  <c r="AI101" i="4"/>
  <c r="AJ101" i="4"/>
  <c r="AK101" i="4"/>
  <c r="AR101" i="4" s="1"/>
  <c r="AH102" i="4"/>
  <c r="AI102" i="4"/>
  <c r="AJ102" i="4"/>
  <c r="AK102" i="4"/>
  <c r="AH103" i="4"/>
  <c r="AI103" i="4"/>
  <c r="AJ103" i="4"/>
  <c r="AK103" i="4"/>
  <c r="AR103" i="4" s="1"/>
  <c r="AH104" i="4"/>
  <c r="AI104" i="4"/>
  <c r="AJ104" i="4" s="1"/>
  <c r="AH105" i="4"/>
  <c r="AI105" i="4"/>
  <c r="AJ105" i="4" s="1"/>
  <c r="AH106" i="4"/>
  <c r="AI106" i="4"/>
  <c r="AJ106" i="4" s="1"/>
  <c r="AH107" i="4"/>
  <c r="AI107" i="4"/>
  <c r="AJ107" i="4" s="1"/>
  <c r="AO99" i="4"/>
  <c r="AR99" i="4"/>
  <c r="AO101" i="4"/>
  <c r="AO103" i="4"/>
  <c r="AH92" i="4"/>
  <c r="AI92" i="4"/>
  <c r="AJ92" i="4"/>
  <c r="AK92" i="4"/>
  <c r="AH93" i="4"/>
  <c r="AI93" i="4"/>
  <c r="AJ93" i="4"/>
  <c r="AK93" i="4"/>
  <c r="AR93" i="4" s="1"/>
  <c r="AH94" i="4"/>
  <c r="AI94" i="4"/>
  <c r="AJ94" i="4"/>
  <c r="AK94" i="4"/>
  <c r="AH95" i="4"/>
  <c r="AI95" i="4"/>
  <c r="AJ95" i="4"/>
  <c r="AK95" i="4"/>
  <c r="AR95" i="4" s="1"/>
  <c r="AH96" i="4"/>
  <c r="AI96" i="4"/>
  <c r="AJ96" i="4"/>
  <c r="AK96" i="4"/>
  <c r="AH97" i="4"/>
  <c r="AI97" i="4"/>
  <c r="AJ97" i="4"/>
  <c r="AK97" i="4"/>
  <c r="AR97" i="4" s="1"/>
  <c r="AN98" i="4"/>
  <c r="AO100" i="4"/>
  <c r="AO92" i="4"/>
  <c r="AM94" i="4"/>
  <c r="AR94" i="4"/>
  <c r="AR96" i="4"/>
  <c r="AN102" i="4"/>
  <c r="AR102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8" i="4"/>
  <c r="AR100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3" i="4"/>
  <c r="AO95" i="4"/>
  <c r="AO97" i="4"/>
  <c r="F24" i="4"/>
  <c r="E24" i="4"/>
  <c r="AQ90" i="4"/>
  <c r="AA98" i="4"/>
  <c r="AA99" i="4"/>
  <c r="Z100" i="4"/>
  <c r="AA101" i="4"/>
  <c r="AA102" i="4"/>
  <c r="Z105" i="4"/>
  <c r="AA105" i="4"/>
  <c r="AB105" i="4" s="1"/>
  <c r="Z107" i="4"/>
  <c r="AA107" i="4"/>
  <c r="AN37" i="4"/>
  <c r="AM38" i="4"/>
  <c r="AN45" i="4"/>
  <c r="AM46" i="4"/>
  <c r="AN53" i="4"/>
  <c r="AM54" i="4"/>
  <c r="AN61" i="4"/>
  <c r="AM62" i="4"/>
  <c r="AN69" i="4"/>
  <c r="AM70" i="4"/>
  <c r="AN77" i="4"/>
  <c r="AM78" i="4"/>
  <c r="AN85" i="4"/>
  <c r="AM86" i="4"/>
  <c r="AN93" i="4"/>
  <c r="AK36" i="4"/>
  <c r="AJ37" i="4"/>
  <c r="AM37" i="4" s="1"/>
  <c r="AJ38" i="4"/>
  <c r="AN38" i="4" s="1"/>
  <c r="AK38" i="4"/>
  <c r="AQ38" i="4" s="1"/>
  <c r="AK40" i="4"/>
  <c r="AJ41" i="4"/>
  <c r="AM41" i="4" s="1"/>
  <c r="AJ42" i="4"/>
  <c r="AN42" i="4" s="1"/>
  <c r="AK42" i="4"/>
  <c r="AQ42" i="4" s="1"/>
  <c r="AK44" i="4"/>
  <c r="AJ45" i="4"/>
  <c r="AM45" i="4" s="1"/>
  <c r="AJ46" i="4"/>
  <c r="AN46" i="4" s="1"/>
  <c r="AK46" i="4"/>
  <c r="AQ46" i="4" s="1"/>
  <c r="AK48" i="4"/>
  <c r="AJ49" i="4"/>
  <c r="AM49" i="4" s="1"/>
  <c r="AJ50" i="4"/>
  <c r="AN50" i="4" s="1"/>
  <c r="AK50" i="4"/>
  <c r="AQ50" i="4" s="1"/>
  <c r="AK52" i="4"/>
  <c r="AJ53" i="4"/>
  <c r="AM53" i="4" s="1"/>
  <c r="AJ54" i="4"/>
  <c r="AN54" i="4" s="1"/>
  <c r="AK54" i="4"/>
  <c r="AQ54" i="4" s="1"/>
  <c r="AK56" i="4"/>
  <c r="AJ57" i="4"/>
  <c r="AM57" i="4" s="1"/>
  <c r="AJ58" i="4"/>
  <c r="AN58" i="4" s="1"/>
  <c r="AK58" i="4"/>
  <c r="AQ58" i="4" s="1"/>
  <c r="AK60" i="4"/>
  <c r="AJ61" i="4"/>
  <c r="AM61" i="4" s="1"/>
  <c r="AJ62" i="4"/>
  <c r="AN62" i="4" s="1"/>
  <c r="AK62" i="4"/>
  <c r="AQ62" i="4" s="1"/>
  <c r="AK64" i="4"/>
  <c r="AJ65" i="4"/>
  <c r="AM65" i="4" s="1"/>
  <c r="AJ66" i="4"/>
  <c r="AN66" i="4" s="1"/>
  <c r="AK66" i="4"/>
  <c r="AQ66" i="4" s="1"/>
  <c r="AK68" i="4"/>
  <c r="AJ69" i="4"/>
  <c r="AM69" i="4" s="1"/>
  <c r="AJ70" i="4"/>
  <c r="AN70" i="4" s="1"/>
  <c r="AK70" i="4"/>
  <c r="AQ70" i="4" s="1"/>
  <c r="AK72" i="4"/>
  <c r="AJ73" i="4"/>
  <c r="AM73" i="4" s="1"/>
  <c r="AJ74" i="4"/>
  <c r="AN74" i="4" s="1"/>
  <c r="AK74" i="4"/>
  <c r="AP74" i="4" s="1"/>
  <c r="AK76" i="4"/>
  <c r="AJ77" i="4"/>
  <c r="AM77" i="4" s="1"/>
  <c r="AJ78" i="4"/>
  <c r="AN78" i="4" s="1"/>
  <c r="AK78" i="4"/>
  <c r="AP78" i="4" s="1"/>
  <c r="AK80" i="4"/>
  <c r="AJ81" i="4"/>
  <c r="AM81" i="4" s="1"/>
  <c r="AJ82" i="4"/>
  <c r="AN82" i="4" s="1"/>
  <c r="AK82" i="4"/>
  <c r="AP82" i="4" s="1"/>
  <c r="AK84" i="4"/>
  <c r="AJ85" i="4"/>
  <c r="AM85" i="4" s="1"/>
  <c r="AJ86" i="4"/>
  <c r="AN86" i="4" s="1"/>
  <c r="AK86" i="4"/>
  <c r="AP86" i="4" s="1"/>
  <c r="AK88" i="4"/>
  <c r="AJ89" i="4"/>
  <c r="AM89" i="4" s="1"/>
  <c r="AJ90" i="4"/>
  <c r="AN90" i="4" s="1"/>
  <c r="AK90" i="4"/>
  <c r="AP90" i="4" s="1"/>
  <c r="AM93" i="4"/>
  <c r="AP94" i="4"/>
  <c r="AP98" i="4"/>
  <c r="AP100" i="4"/>
  <c r="AP102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9" i="4"/>
  <c r="N10" i="4"/>
  <c r="N11" i="4"/>
  <c r="N13" i="4"/>
  <c r="N14" i="4"/>
  <c r="N15" i="4"/>
  <c r="N17" i="4"/>
  <c r="N18" i="4"/>
  <c r="N19" i="4"/>
  <c r="N6" i="4"/>
  <c r="N7" i="4"/>
  <c r="N5" i="4"/>
  <c r="Z39" i="4"/>
  <c r="Z38" i="4"/>
  <c r="Z37" i="4"/>
  <c r="Z36" i="4"/>
  <c r="AN3" i="4"/>
  <c r="AQ3" i="4" s="1"/>
  <c r="AM3" i="4"/>
  <c r="AP3" i="4" s="1"/>
  <c r="AE3" i="4"/>
  <c r="AD3" i="4"/>
  <c r="AC3" i="4"/>
  <c r="X3" i="4" a="1"/>
  <c r="Q3" i="4" a="1"/>
  <c r="Q3" i="4" s="1"/>
  <c r="AK107" i="4" l="1"/>
  <c r="AK105" i="4"/>
  <c r="AR105" i="4" s="1"/>
  <c r="AK106" i="4"/>
  <c r="AK104" i="4"/>
  <c r="AO105" i="4"/>
  <c r="AO104" i="4"/>
  <c r="AN101" i="4"/>
  <c r="AO98" i="4"/>
  <c r="AN94" i="4"/>
  <c r="AO94" i="4"/>
  <c r="AO102" i="4"/>
  <c r="AR104" i="4"/>
  <c r="AN97" i="4"/>
  <c r="AM97" i="4"/>
  <c r="AQ78" i="4"/>
  <c r="AP66" i="4"/>
  <c r="AP50" i="4"/>
  <c r="AP96" i="4"/>
  <c r="AQ96" i="4"/>
  <c r="AP88" i="4"/>
  <c r="AQ88" i="4"/>
  <c r="AP80" i="4"/>
  <c r="AQ80" i="4"/>
  <c r="AQ72" i="4"/>
  <c r="AP72" i="4"/>
  <c r="AQ64" i="4"/>
  <c r="AP64" i="4"/>
  <c r="AQ56" i="4"/>
  <c r="AP56" i="4"/>
  <c r="AP48" i="4"/>
  <c r="AQ48" i="4"/>
  <c r="AP40" i="4"/>
  <c r="AQ40" i="4"/>
  <c r="AM90" i="4"/>
  <c r="AM66" i="4"/>
  <c r="AM82" i="4"/>
  <c r="AM74" i="4"/>
  <c r="AM58" i="4"/>
  <c r="AM50" i="4"/>
  <c r="AM42" i="4"/>
  <c r="AQ86" i="4"/>
  <c r="AP62" i="4"/>
  <c r="AP46" i="4"/>
  <c r="AN89" i="4"/>
  <c r="AN81" i="4"/>
  <c r="AN73" i="4"/>
  <c r="AN65" i="4"/>
  <c r="AN57" i="4"/>
  <c r="AN49" i="4"/>
  <c r="AN41" i="4"/>
  <c r="AQ74" i="4"/>
  <c r="AQ94" i="4"/>
  <c r="AP58" i="4"/>
  <c r="AP42" i="4"/>
  <c r="AQ92" i="4"/>
  <c r="AP92" i="4"/>
  <c r="AQ84" i="4"/>
  <c r="AP84" i="4"/>
  <c r="AP76" i="4"/>
  <c r="AQ76" i="4"/>
  <c r="AP68" i="4"/>
  <c r="AQ68" i="4"/>
  <c r="AP60" i="4"/>
  <c r="AQ60" i="4"/>
  <c r="AP52" i="4"/>
  <c r="AQ52" i="4"/>
  <c r="AQ44" i="4"/>
  <c r="AP44" i="4"/>
  <c r="AP36" i="4"/>
  <c r="AQ36" i="4"/>
  <c r="AQ82" i="4"/>
  <c r="X3" i="4"/>
  <c r="E20" i="4"/>
  <c r="C20" i="4"/>
  <c r="AB107" i="4"/>
  <c r="AD107" i="4" s="1"/>
  <c r="AP70" i="4"/>
  <c r="AP54" i="4"/>
  <c r="AP38" i="4"/>
  <c r="AI36" i="4"/>
  <c r="AK89" i="4"/>
  <c r="AK85" i="4"/>
  <c r="AK81" i="4"/>
  <c r="AK77" i="4"/>
  <c r="AK73" i="4"/>
  <c r="AK69" i="4"/>
  <c r="AK65" i="4"/>
  <c r="AK61" i="4"/>
  <c r="AK57" i="4"/>
  <c r="AK53" i="4"/>
  <c r="AK49" i="4"/>
  <c r="AK45" i="4"/>
  <c r="AK41" i="4"/>
  <c r="AK37" i="4"/>
  <c r="Z102" i="4"/>
  <c r="AB102" i="4" s="1"/>
  <c r="Z99" i="4"/>
  <c r="AB99" i="4" s="1"/>
  <c r="AA104" i="4"/>
  <c r="Z98" i="4"/>
  <c r="AB98" i="4" s="1"/>
  <c r="AM100" i="4"/>
  <c r="AJ88" i="4"/>
  <c r="AJ84" i="4"/>
  <c r="AJ80" i="4"/>
  <c r="AJ76" i="4"/>
  <c r="AJ72" i="4"/>
  <c r="AJ68" i="4"/>
  <c r="AJ64" i="4"/>
  <c r="AJ60" i="4"/>
  <c r="AJ56" i="4"/>
  <c r="AJ52" i="4"/>
  <c r="AJ48" i="4"/>
  <c r="AJ44" i="4"/>
  <c r="AJ40" i="4"/>
  <c r="AJ36" i="4"/>
  <c r="Z104" i="4"/>
  <c r="Z101" i="4"/>
  <c r="AB101" i="4" s="1"/>
  <c r="AP103" i="4"/>
  <c r="AP99" i="4"/>
  <c r="AK91" i="4"/>
  <c r="AK87" i="4"/>
  <c r="AK83" i="4"/>
  <c r="AK79" i="4"/>
  <c r="AK75" i="4"/>
  <c r="AK71" i="4"/>
  <c r="AK67" i="4"/>
  <c r="AK63" i="4"/>
  <c r="AK59" i="4"/>
  <c r="AK55" i="4"/>
  <c r="AK51" i="4"/>
  <c r="AK47" i="4"/>
  <c r="AK43" i="4"/>
  <c r="AK39" i="4"/>
  <c r="AA106" i="4"/>
  <c r="AA103" i="4"/>
  <c r="AB103" i="4" s="1"/>
  <c r="AC103" i="4" s="1"/>
  <c r="AN103" i="4"/>
  <c r="AN99" i="4"/>
  <c r="AJ91" i="4"/>
  <c r="AJ87" i="4"/>
  <c r="AJ83" i="4"/>
  <c r="AJ79" i="4"/>
  <c r="AJ75" i="4"/>
  <c r="AJ71" i="4"/>
  <c r="AJ67" i="4"/>
  <c r="AJ63" i="4"/>
  <c r="AJ59" i="4"/>
  <c r="AJ55" i="4"/>
  <c r="AJ51" i="4"/>
  <c r="AJ47" i="4"/>
  <c r="AJ43" i="4"/>
  <c r="AJ39" i="4"/>
  <c r="Z106" i="4"/>
  <c r="Z103" i="4"/>
  <c r="AA100" i="4"/>
  <c r="AB100" i="4" s="1"/>
  <c r="AE100" i="4" s="1"/>
  <c r="AM101" i="4"/>
  <c r="AQ100" i="4"/>
  <c r="AQ99" i="4"/>
  <c r="AQ102" i="4"/>
  <c r="AQ98" i="4"/>
  <c r="AE105" i="4"/>
  <c r="AC105" i="4"/>
  <c r="AD105" i="4"/>
  <c r="AC107" i="4"/>
  <c r="AE107" i="4"/>
  <c r="AD103" i="4"/>
  <c r="AE103" i="4"/>
  <c r="AM98" i="4"/>
  <c r="AM103" i="4"/>
  <c r="AM102" i="4"/>
  <c r="AN100" i="4"/>
  <c r="P105" i="4"/>
  <c r="P77" i="4"/>
  <c r="P53" i="4"/>
  <c r="P33" i="4"/>
  <c r="O105" i="4"/>
  <c r="O101" i="4"/>
  <c r="O97" i="4"/>
  <c r="O93" i="4"/>
  <c r="O89" i="4"/>
  <c r="O85" i="4"/>
  <c r="O81" i="4"/>
  <c r="O77" i="4"/>
  <c r="O73" i="4"/>
  <c r="O69" i="4"/>
  <c r="O65" i="4"/>
  <c r="O61" i="4"/>
  <c r="O57" i="4"/>
  <c r="O53" i="4"/>
  <c r="O49" i="4"/>
  <c r="O45" i="4"/>
  <c r="O41" i="4"/>
  <c r="O37" i="4"/>
  <c r="O33" i="4"/>
  <c r="O29" i="4"/>
  <c r="O25" i="4"/>
  <c r="O21" i="4"/>
  <c r="O17" i="4"/>
  <c r="O13" i="4"/>
  <c r="O9" i="4"/>
  <c r="P85" i="4"/>
  <c r="P69" i="4"/>
  <c r="P49" i="4"/>
  <c r="P45" i="4"/>
  <c r="P41" i="4"/>
  <c r="P29" i="4"/>
  <c r="P25" i="4"/>
  <c r="P9" i="4"/>
  <c r="O5" i="4"/>
  <c r="P104" i="4"/>
  <c r="P100" i="4"/>
  <c r="P96" i="4"/>
  <c r="P92" i="4"/>
  <c r="P88" i="4"/>
  <c r="P84" i="4"/>
  <c r="P80" i="4"/>
  <c r="P76" i="4"/>
  <c r="P72" i="4"/>
  <c r="P68" i="4"/>
  <c r="P64" i="4"/>
  <c r="P60" i="4"/>
  <c r="P56" i="4"/>
  <c r="P52" i="4"/>
  <c r="P48" i="4"/>
  <c r="P44" i="4"/>
  <c r="P40" i="4"/>
  <c r="P36" i="4"/>
  <c r="P32" i="4"/>
  <c r="P28" i="4"/>
  <c r="P24" i="4"/>
  <c r="P20" i="4"/>
  <c r="P16" i="4"/>
  <c r="P12" i="4"/>
  <c r="P8" i="4"/>
  <c r="P101" i="4"/>
  <c r="P81" i="4"/>
  <c r="P65" i="4"/>
  <c r="P17" i="4"/>
  <c r="P5" i="4"/>
  <c r="O104" i="4"/>
  <c r="O100" i="4"/>
  <c r="O96" i="4"/>
  <c r="O92" i="4"/>
  <c r="O88" i="4"/>
  <c r="O84" i="4"/>
  <c r="O80" i="4"/>
  <c r="O76" i="4"/>
  <c r="O72" i="4"/>
  <c r="O68" i="4"/>
  <c r="O64" i="4"/>
  <c r="O60" i="4"/>
  <c r="O56" i="4"/>
  <c r="O52" i="4"/>
  <c r="O48" i="4"/>
  <c r="O44" i="4"/>
  <c r="O40" i="4"/>
  <c r="O36" i="4"/>
  <c r="O32" i="4"/>
  <c r="O28" i="4"/>
  <c r="O24" i="4"/>
  <c r="O20" i="4"/>
  <c r="O16" i="4"/>
  <c r="O12" i="4"/>
  <c r="O8" i="4"/>
  <c r="P97" i="4"/>
  <c r="P57" i="4"/>
  <c r="P13" i="4"/>
  <c r="P107" i="4"/>
  <c r="P103" i="4"/>
  <c r="P99" i="4"/>
  <c r="P95" i="4"/>
  <c r="P91" i="4"/>
  <c r="P87" i="4"/>
  <c r="P83" i="4"/>
  <c r="P79" i="4"/>
  <c r="P75" i="4"/>
  <c r="P71" i="4"/>
  <c r="P67" i="4"/>
  <c r="P63" i="4"/>
  <c r="P59" i="4"/>
  <c r="P55" i="4"/>
  <c r="P51" i="4"/>
  <c r="P47" i="4"/>
  <c r="P43" i="4"/>
  <c r="P39" i="4"/>
  <c r="P35" i="4"/>
  <c r="P31" i="4"/>
  <c r="P27" i="4"/>
  <c r="P23" i="4"/>
  <c r="P19" i="4"/>
  <c r="P15" i="4"/>
  <c r="P11" i="4"/>
  <c r="P7" i="4"/>
  <c r="P89" i="4"/>
  <c r="P61" i="4"/>
  <c r="P21" i="4"/>
  <c r="O107" i="4"/>
  <c r="O103" i="4"/>
  <c r="O99" i="4"/>
  <c r="O95" i="4"/>
  <c r="O91" i="4"/>
  <c r="O87" i="4"/>
  <c r="O83" i="4"/>
  <c r="O79" i="4"/>
  <c r="O75" i="4"/>
  <c r="O71" i="4"/>
  <c r="O67" i="4"/>
  <c r="O63" i="4"/>
  <c r="O59" i="4"/>
  <c r="O55" i="4"/>
  <c r="O51" i="4"/>
  <c r="O47" i="4"/>
  <c r="O43" i="4"/>
  <c r="O39" i="4"/>
  <c r="O35" i="4"/>
  <c r="O31" i="4"/>
  <c r="O27" i="4"/>
  <c r="O23" i="4"/>
  <c r="O19" i="4"/>
  <c r="O15" i="4"/>
  <c r="O11" i="4"/>
  <c r="O7" i="4"/>
  <c r="P93" i="4"/>
  <c r="P73" i="4"/>
  <c r="P37" i="4"/>
  <c r="P106" i="4"/>
  <c r="P102" i="4"/>
  <c r="P98" i="4"/>
  <c r="P94" i="4"/>
  <c r="P90" i="4"/>
  <c r="P86" i="4"/>
  <c r="P82" i="4"/>
  <c r="P78" i="4"/>
  <c r="P74" i="4"/>
  <c r="P70" i="4"/>
  <c r="P66" i="4"/>
  <c r="P62" i="4"/>
  <c r="P58" i="4"/>
  <c r="P54" i="4"/>
  <c r="P50" i="4"/>
  <c r="P46" i="4"/>
  <c r="P42" i="4"/>
  <c r="P38" i="4"/>
  <c r="P34" i="4"/>
  <c r="P30" i="4"/>
  <c r="P26" i="4"/>
  <c r="P22" i="4"/>
  <c r="P18" i="4"/>
  <c r="P14" i="4"/>
  <c r="P10" i="4"/>
  <c r="P6" i="4"/>
  <c r="O106" i="4"/>
  <c r="O102" i="4"/>
  <c r="O98" i="4"/>
  <c r="O94" i="4"/>
  <c r="O90" i="4"/>
  <c r="O86" i="4"/>
  <c r="O82" i="4"/>
  <c r="O78" i="4"/>
  <c r="O74" i="4"/>
  <c r="O70" i="4"/>
  <c r="O66" i="4"/>
  <c r="O62" i="4"/>
  <c r="O58" i="4"/>
  <c r="O54" i="4"/>
  <c r="O50" i="4"/>
  <c r="O46" i="4"/>
  <c r="O42" i="4"/>
  <c r="O38" i="4"/>
  <c r="O34" i="4"/>
  <c r="O30" i="4"/>
  <c r="O26" i="4"/>
  <c r="O22" i="4"/>
  <c r="O18" i="4"/>
  <c r="O14" i="4"/>
  <c r="O10" i="4"/>
  <c r="O6" i="4"/>
  <c r="AI67" i="4"/>
  <c r="AI43" i="4"/>
  <c r="AA75" i="4"/>
  <c r="AA35" i="4"/>
  <c r="AI58" i="4"/>
  <c r="AA90" i="4"/>
  <c r="Z5" i="4"/>
  <c r="Z69" i="4"/>
  <c r="AH69" i="4" s="1"/>
  <c r="Z93" i="4"/>
  <c r="AI89" i="4"/>
  <c r="AI81" i="4"/>
  <c r="AI73" i="4"/>
  <c r="AI65" i="4"/>
  <c r="AI57" i="4"/>
  <c r="AI49" i="4"/>
  <c r="AI41" i="4"/>
  <c r="AA97" i="4"/>
  <c r="AA89" i="4"/>
  <c r="AA81" i="4"/>
  <c r="AA73" i="4"/>
  <c r="AA65" i="4"/>
  <c r="AA57" i="4"/>
  <c r="AA49" i="4"/>
  <c r="AA41" i="4"/>
  <c r="AA33" i="4"/>
  <c r="AA25" i="4"/>
  <c r="AA17" i="4"/>
  <c r="AA9" i="4"/>
  <c r="Z6" i="4"/>
  <c r="Z14" i="4"/>
  <c r="Z22" i="4"/>
  <c r="Z30" i="4"/>
  <c r="Z46" i="4"/>
  <c r="AH46" i="4" s="1"/>
  <c r="Z54" i="4"/>
  <c r="AH54" i="4" s="1"/>
  <c r="Z62" i="4"/>
  <c r="AH62" i="4" s="1"/>
  <c r="Z70" i="4"/>
  <c r="AH70" i="4" s="1"/>
  <c r="Z78" i="4"/>
  <c r="AH78" i="4" s="1"/>
  <c r="Z86" i="4"/>
  <c r="AH86" i="4" s="1"/>
  <c r="Z94" i="4"/>
  <c r="AI85" i="4"/>
  <c r="AI45" i="4"/>
  <c r="AA69" i="4"/>
  <c r="AA29" i="4"/>
  <c r="AI84" i="4"/>
  <c r="AI52" i="4"/>
  <c r="AA84" i="4"/>
  <c r="AA52" i="4"/>
  <c r="AA28" i="4"/>
  <c r="AI75" i="4"/>
  <c r="AI51" i="4"/>
  <c r="AA91" i="4"/>
  <c r="AA59" i="4"/>
  <c r="AI82" i="4"/>
  <c r="AI42" i="4"/>
  <c r="AA82" i="4"/>
  <c r="AA58" i="4"/>
  <c r="AA50" i="4"/>
  <c r="AA26" i="4"/>
  <c r="Z13" i="4"/>
  <c r="Z45" i="4"/>
  <c r="AH45" i="4" s="1"/>
  <c r="AI88" i="4"/>
  <c r="AI80" i="4"/>
  <c r="AI72" i="4"/>
  <c r="AI64" i="4"/>
  <c r="AI56" i="4"/>
  <c r="AI48" i="4"/>
  <c r="AI40" i="4"/>
  <c r="AA96" i="4"/>
  <c r="AA88" i="4"/>
  <c r="AA80" i="4"/>
  <c r="AA72" i="4"/>
  <c r="AA64" i="4"/>
  <c r="AA56" i="4"/>
  <c r="AA48" i="4"/>
  <c r="AA40" i="4"/>
  <c r="AA32" i="4"/>
  <c r="AA24" i="4"/>
  <c r="AA16" i="4"/>
  <c r="AA8" i="4"/>
  <c r="Z7" i="4"/>
  <c r="AH7" i="4" s="1"/>
  <c r="Z15" i="4"/>
  <c r="AH15" i="4" s="1"/>
  <c r="Z23" i="4"/>
  <c r="AH23" i="4" s="1"/>
  <c r="Z31" i="4"/>
  <c r="AH31" i="4" s="1"/>
  <c r="Z47" i="4"/>
  <c r="AH47" i="4" s="1"/>
  <c r="Z55" i="4"/>
  <c r="AH55" i="4" s="1"/>
  <c r="Z63" i="4"/>
  <c r="AH63" i="4" s="1"/>
  <c r="Z71" i="4"/>
  <c r="AH71" i="4" s="1"/>
  <c r="Z79" i="4"/>
  <c r="AH79" i="4" s="1"/>
  <c r="Z87" i="4"/>
  <c r="AH87" i="4" s="1"/>
  <c r="Z95" i="4"/>
  <c r="AI66" i="4"/>
  <c r="AA66" i="4"/>
  <c r="AA34" i="4"/>
  <c r="AA10" i="4"/>
  <c r="Z29" i="4"/>
  <c r="Z61" i="4"/>
  <c r="AH61" i="4" s="1"/>
  <c r="Z77" i="4"/>
  <c r="AH77" i="4" s="1"/>
  <c r="AI87" i="4"/>
  <c r="AI79" i="4"/>
  <c r="AI71" i="4"/>
  <c r="AI63" i="4"/>
  <c r="AI55" i="4"/>
  <c r="AI47" i="4"/>
  <c r="AI39" i="4"/>
  <c r="AA95" i="4"/>
  <c r="AA87" i="4"/>
  <c r="AA79" i="4"/>
  <c r="AA71" i="4"/>
  <c r="AA63" i="4"/>
  <c r="AA55" i="4"/>
  <c r="AA47" i="4"/>
  <c r="AA39" i="4"/>
  <c r="AA31" i="4"/>
  <c r="AA23" i="4"/>
  <c r="AA15" i="4"/>
  <c r="AA7" i="4"/>
  <c r="Z8" i="4"/>
  <c r="Z16" i="4"/>
  <c r="Z24" i="4"/>
  <c r="AJ24" i="4" s="1"/>
  <c r="Z32" i="4"/>
  <c r="Z40" i="4"/>
  <c r="AH40" i="4" s="1"/>
  <c r="Z48" i="4"/>
  <c r="AH48" i="4" s="1"/>
  <c r="Z56" i="4"/>
  <c r="AH56" i="4" s="1"/>
  <c r="Z64" i="4"/>
  <c r="AH64" i="4" s="1"/>
  <c r="Z72" i="4"/>
  <c r="AH72" i="4" s="1"/>
  <c r="Z80" i="4"/>
  <c r="Z88" i="4"/>
  <c r="AH88" i="4" s="1"/>
  <c r="Z96" i="4"/>
  <c r="AI77" i="4"/>
  <c r="AI37" i="4"/>
  <c r="AA77" i="4"/>
  <c r="AA37" i="4"/>
  <c r="AI44" i="4"/>
  <c r="AA68" i="4"/>
  <c r="AA20" i="4"/>
  <c r="AI91" i="4"/>
  <c r="AI59" i="4"/>
  <c r="AA83" i="4"/>
  <c r="AA43" i="4"/>
  <c r="AI90" i="4"/>
  <c r="AI74" i="4"/>
  <c r="AI50" i="4"/>
  <c r="AA74" i="4"/>
  <c r="AA42" i="4"/>
  <c r="AA18" i="4"/>
  <c r="Z21" i="4"/>
  <c r="Z53" i="4"/>
  <c r="AH53" i="4" s="1"/>
  <c r="Z85" i="4"/>
  <c r="AH85" i="4" s="1"/>
  <c r="AI86" i="4"/>
  <c r="AI78" i="4"/>
  <c r="AI70" i="4"/>
  <c r="AI62" i="4"/>
  <c r="AI54" i="4"/>
  <c r="AI46" i="4"/>
  <c r="AI38" i="4"/>
  <c r="AA94" i="4"/>
  <c r="AA86" i="4"/>
  <c r="AA78" i="4"/>
  <c r="AA70" i="4"/>
  <c r="AA62" i="4"/>
  <c r="AA54" i="4"/>
  <c r="AA46" i="4"/>
  <c r="AA38" i="4"/>
  <c r="AA30" i="4"/>
  <c r="AA22" i="4"/>
  <c r="AA14" i="4"/>
  <c r="AA6" i="4"/>
  <c r="Z9" i="4"/>
  <c r="Z17" i="4"/>
  <c r="Z25" i="4"/>
  <c r="Z33" i="4"/>
  <c r="Z41" i="4"/>
  <c r="AH41" i="4" s="1"/>
  <c r="Z49" i="4"/>
  <c r="AH49" i="4" s="1"/>
  <c r="Z57" i="4"/>
  <c r="AH57" i="4" s="1"/>
  <c r="Z65" i="4"/>
  <c r="AH65" i="4" s="1"/>
  <c r="Z73" i="4"/>
  <c r="Z81" i="4"/>
  <c r="AH81" i="4" s="1"/>
  <c r="Z89" i="4"/>
  <c r="AH89" i="4" s="1"/>
  <c r="Z97" i="4"/>
  <c r="AI69" i="4"/>
  <c r="AA61" i="4"/>
  <c r="AA21" i="4"/>
  <c r="Z10" i="4"/>
  <c r="Z18" i="4"/>
  <c r="Z26" i="4"/>
  <c r="Z34" i="4"/>
  <c r="Z42" i="4"/>
  <c r="AH42" i="4" s="1"/>
  <c r="Z50" i="4"/>
  <c r="AH50" i="4" s="1"/>
  <c r="Z58" i="4"/>
  <c r="AH58" i="4" s="1"/>
  <c r="Z66" i="4"/>
  <c r="AB66" i="4" s="1"/>
  <c r="Z74" i="4"/>
  <c r="AH74" i="4" s="1"/>
  <c r="Z82" i="4"/>
  <c r="AH82" i="4" s="1"/>
  <c r="Z90" i="4"/>
  <c r="AH90" i="4" s="1"/>
  <c r="AI53" i="4"/>
  <c r="AA85" i="4"/>
  <c r="AA45" i="4"/>
  <c r="AA5" i="4"/>
  <c r="AI76" i="4"/>
  <c r="AI68" i="4"/>
  <c r="AA92" i="4"/>
  <c r="AA60" i="4"/>
  <c r="AA44" i="4"/>
  <c r="AA12" i="4"/>
  <c r="Z11" i="4"/>
  <c r="AH11" i="4" s="1"/>
  <c r="Z19" i="4"/>
  <c r="AH19" i="4" s="1"/>
  <c r="Z27" i="4"/>
  <c r="AH27" i="4" s="1"/>
  <c r="Z35" i="4"/>
  <c r="AK35" i="4" s="1"/>
  <c r="Z43" i="4"/>
  <c r="AH43" i="4" s="1"/>
  <c r="Z51" i="4"/>
  <c r="AH51" i="4" s="1"/>
  <c r="Z59" i="4"/>
  <c r="AH59" i="4" s="1"/>
  <c r="Z67" i="4"/>
  <c r="AH67" i="4" s="1"/>
  <c r="Z75" i="4"/>
  <c r="AH75" i="4" s="1"/>
  <c r="Z83" i="4"/>
  <c r="AH83" i="4" s="1"/>
  <c r="Z91" i="4"/>
  <c r="AH91" i="4" s="1"/>
  <c r="AI61" i="4"/>
  <c r="AA93" i="4"/>
  <c r="AA53" i="4"/>
  <c r="AA13" i="4"/>
  <c r="AI60" i="4"/>
  <c r="AA76" i="4"/>
  <c r="AA36" i="4"/>
  <c r="AB36" i="4" s="1"/>
  <c r="AI83" i="4"/>
  <c r="AA67" i="4"/>
  <c r="AA51" i="4"/>
  <c r="AA27" i="4"/>
  <c r="AB27" i="4" s="1"/>
  <c r="AA19" i="4"/>
  <c r="AA11" i="4"/>
  <c r="Z4" i="4"/>
  <c r="Z12" i="4"/>
  <c r="Z20" i="4"/>
  <c r="Z28" i="4"/>
  <c r="Z44" i="4"/>
  <c r="AH44" i="4" s="1"/>
  <c r="Z52" i="4"/>
  <c r="AH52" i="4" s="1"/>
  <c r="Z60" i="4"/>
  <c r="Z68" i="4"/>
  <c r="AH68" i="4" s="1"/>
  <c r="Z76" i="4"/>
  <c r="AH76" i="4" s="1"/>
  <c r="Z84" i="4"/>
  <c r="AH84" i="4" s="1"/>
  <c r="Z92" i="4"/>
  <c r="AH37" i="4"/>
  <c r="AH36" i="4"/>
  <c r="AH35" i="4"/>
  <c r="AI35" i="4" s="1"/>
  <c r="AJ35" i="4" s="1"/>
  <c r="AH60" i="4"/>
  <c r="AH80" i="4"/>
  <c r="AH24" i="4"/>
  <c r="AI24" i="4" s="1"/>
  <c r="AH39" i="4"/>
  <c r="AH73" i="4"/>
  <c r="AH38" i="4"/>
  <c r="AM96" i="4" l="1"/>
  <c r="AO96" i="4"/>
  <c r="AC98" i="4"/>
  <c r="AD98" i="4"/>
  <c r="AE98" i="4"/>
  <c r="AM35" i="4"/>
  <c r="AN35" i="4"/>
  <c r="AC99" i="4"/>
  <c r="AD99" i="4"/>
  <c r="AE99" i="4"/>
  <c r="AJ28" i="4"/>
  <c r="AM24" i="4"/>
  <c r="AN24" i="4"/>
  <c r="AC102" i="4"/>
  <c r="AD102" i="4"/>
  <c r="AE102" i="4"/>
  <c r="AJ16" i="4"/>
  <c r="AC101" i="4"/>
  <c r="AD101" i="4"/>
  <c r="AE101" i="4"/>
  <c r="AP35" i="4"/>
  <c r="AQ35" i="4"/>
  <c r="AM67" i="4"/>
  <c r="AN67" i="4"/>
  <c r="AP55" i="4"/>
  <c r="AQ55" i="4"/>
  <c r="AP87" i="4"/>
  <c r="AQ87" i="4"/>
  <c r="AM44" i="4"/>
  <c r="AN44" i="4"/>
  <c r="AM76" i="4"/>
  <c r="AN76" i="4"/>
  <c r="AQ53" i="4"/>
  <c r="AP53" i="4"/>
  <c r="AQ85" i="4"/>
  <c r="AP85" i="4"/>
  <c r="AH4" i="4"/>
  <c r="AH10" i="4"/>
  <c r="AH9" i="4"/>
  <c r="AI9" i="4" s="1"/>
  <c r="AJ9" i="4"/>
  <c r="AH21" i="4"/>
  <c r="AN96" i="4"/>
  <c r="AJ7" i="4"/>
  <c r="AM39" i="4"/>
  <c r="AN39" i="4"/>
  <c r="AM71" i="4"/>
  <c r="AN71" i="4"/>
  <c r="AP59" i="4"/>
  <c r="AQ59" i="4"/>
  <c r="AP91" i="4"/>
  <c r="AQ91" i="4"/>
  <c r="AM48" i="4"/>
  <c r="AN48" i="4"/>
  <c r="AM80" i="4"/>
  <c r="AN80" i="4"/>
  <c r="AB104" i="4"/>
  <c r="AQ57" i="4"/>
  <c r="AP57" i="4"/>
  <c r="AQ89" i="4"/>
  <c r="AP89" i="4"/>
  <c r="AH17" i="4"/>
  <c r="AJ17" i="4"/>
  <c r="AH30" i="4"/>
  <c r="AJ30" i="4"/>
  <c r="AJ11" i="4"/>
  <c r="AM43" i="4"/>
  <c r="AN43" i="4"/>
  <c r="AM75" i="4"/>
  <c r="AN75" i="4"/>
  <c r="AP63" i="4"/>
  <c r="AQ63" i="4"/>
  <c r="AP95" i="4"/>
  <c r="AQ95" i="4"/>
  <c r="AM52" i="4"/>
  <c r="AN52" i="4"/>
  <c r="AM84" i="4"/>
  <c r="AN84" i="4"/>
  <c r="AQ61" i="4"/>
  <c r="AP61" i="4"/>
  <c r="AQ93" i="4"/>
  <c r="AP93" i="4"/>
  <c r="AH22" i="4"/>
  <c r="AI22" i="4" s="1"/>
  <c r="AJ22" i="4" s="1"/>
  <c r="AK22" i="4"/>
  <c r="AQ103" i="4"/>
  <c r="AJ15" i="4"/>
  <c r="AM47" i="4"/>
  <c r="AN47" i="4"/>
  <c r="AM79" i="4"/>
  <c r="AN79" i="4"/>
  <c r="AB106" i="4"/>
  <c r="AP67" i="4"/>
  <c r="AQ67" i="4"/>
  <c r="AM56" i="4"/>
  <c r="AN56" i="4"/>
  <c r="AM88" i="4"/>
  <c r="AN88" i="4"/>
  <c r="AQ65" i="4"/>
  <c r="AP65" i="4"/>
  <c r="AQ97" i="4"/>
  <c r="AP97" i="4"/>
  <c r="AH29" i="4"/>
  <c r="AI29" i="4" s="1"/>
  <c r="AJ29" i="4" s="1"/>
  <c r="AH14" i="4"/>
  <c r="AI14" i="4" s="1"/>
  <c r="AH5" i="4"/>
  <c r="AJ5" i="4"/>
  <c r="AM99" i="4"/>
  <c r="AM51" i="4"/>
  <c r="AN51" i="4"/>
  <c r="AM83" i="4"/>
  <c r="AN83" i="4"/>
  <c r="AP39" i="4"/>
  <c r="AQ39" i="4"/>
  <c r="AP71" i="4"/>
  <c r="AQ71" i="4"/>
  <c r="AM60" i="4"/>
  <c r="AN60" i="4"/>
  <c r="AM92" i="4"/>
  <c r="AN92" i="4"/>
  <c r="AK5" i="4"/>
  <c r="AQ37" i="4"/>
  <c r="AP37" i="4"/>
  <c r="AQ69" i="4"/>
  <c r="AP69" i="4"/>
  <c r="AQ101" i="4"/>
  <c r="AP101" i="4"/>
  <c r="AH12" i="4"/>
  <c r="AI12" i="4" s="1"/>
  <c r="AJ12" i="4" s="1"/>
  <c r="AK12" i="4"/>
  <c r="AH8" i="4"/>
  <c r="AI8" i="4" s="1"/>
  <c r="AK8" i="4"/>
  <c r="AH6" i="4"/>
  <c r="AJ6" i="4"/>
  <c r="AM55" i="4"/>
  <c r="AN55" i="4"/>
  <c r="AM87" i="4"/>
  <c r="AN87" i="4"/>
  <c r="AP43" i="4"/>
  <c r="AQ43" i="4"/>
  <c r="AP75" i="4"/>
  <c r="AQ75" i="4"/>
  <c r="AM64" i="4"/>
  <c r="AN64" i="4"/>
  <c r="AK9" i="4"/>
  <c r="AQ41" i="4"/>
  <c r="AP41" i="4"/>
  <c r="AQ73" i="4"/>
  <c r="AP73" i="4"/>
  <c r="AH28" i="4"/>
  <c r="AI28" i="4" s="1"/>
  <c r="AK28" i="4"/>
  <c r="AH34" i="4"/>
  <c r="AK34" i="4"/>
  <c r="AH33" i="4"/>
  <c r="AI33" i="4" s="1"/>
  <c r="AK33" i="4" s="1"/>
  <c r="AK24" i="4"/>
  <c r="AD100" i="4"/>
  <c r="AC100" i="4"/>
  <c r="AM59" i="4"/>
  <c r="AN59" i="4"/>
  <c r="AM91" i="4"/>
  <c r="AN91" i="4"/>
  <c r="AP47" i="4"/>
  <c r="AQ47" i="4"/>
  <c r="AP79" i="4"/>
  <c r="AQ79" i="4"/>
  <c r="AM36" i="4"/>
  <c r="AN36" i="4"/>
  <c r="AM68" i="4"/>
  <c r="AN68" i="4"/>
  <c r="AQ45" i="4"/>
  <c r="AP45" i="4"/>
  <c r="AQ77" i="4"/>
  <c r="AP77" i="4"/>
  <c r="AH18" i="4"/>
  <c r="AI18" i="4" s="1"/>
  <c r="AK18" i="4"/>
  <c r="AJ18" i="4"/>
  <c r="AH32" i="4"/>
  <c r="AH13" i="4"/>
  <c r="AH20" i="4"/>
  <c r="AI20" i="4" s="1"/>
  <c r="AK20" i="4" s="1"/>
  <c r="AH26" i="4"/>
  <c r="AI26" i="4" s="1"/>
  <c r="AH25" i="4"/>
  <c r="AJ25" i="4"/>
  <c r="AH16" i="4"/>
  <c r="AI16" i="4" s="1"/>
  <c r="AK16" i="4"/>
  <c r="AM63" i="4"/>
  <c r="AN63" i="4"/>
  <c r="AN95" i="4"/>
  <c r="AM95" i="4"/>
  <c r="AP51" i="4"/>
  <c r="AQ51" i="4"/>
  <c r="AP83" i="4"/>
  <c r="AQ83" i="4"/>
  <c r="AJ8" i="4"/>
  <c r="AM40" i="4"/>
  <c r="AN40" i="4"/>
  <c r="AM72" i="4"/>
  <c r="AN72" i="4"/>
  <c r="AQ49" i="4"/>
  <c r="AP49" i="4"/>
  <c r="AQ81" i="4"/>
  <c r="AP81" i="4"/>
  <c r="AB59" i="4"/>
  <c r="AD59" i="4" s="1"/>
  <c r="AB57" i="4"/>
  <c r="AD57" i="4" s="1"/>
  <c r="AI25" i="4"/>
  <c r="AK25" i="4" s="1"/>
  <c r="AI27" i="4"/>
  <c r="AK27" i="4" s="1"/>
  <c r="AI17" i="4"/>
  <c r="AK17" i="4" s="1"/>
  <c r="AI30" i="4"/>
  <c r="AK30" i="4" s="1"/>
  <c r="AI32" i="4"/>
  <c r="AJ32" i="4" s="1"/>
  <c r="AI7" i="4"/>
  <c r="AK7" i="4" s="1"/>
  <c r="AI21" i="4"/>
  <c r="AK21" i="4" s="1"/>
  <c r="AI13" i="4"/>
  <c r="AJ13" i="4" s="1"/>
  <c r="AI6" i="4"/>
  <c r="AK6" i="4" s="1"/>
  <c r="AB68" i="4"/>
  <c r="AE68" i="4" s="1"/>
  <c r="AB56" i="4"/>
  <c r="AD56" i="4" s="1"/>
  <c r="AI4" i="4"/>
  <c r="AJ4" i="4" s="1"/>
  <c r="AB85" i="4"/>
  <c r="AC85" i="4" s="1"/>
  <c r="AB25" i="4"/>
  <c r="AE25" i="4" s="1"/>
  <c r="AI19" i="4"/>
  <c r="AK19" i="4" s="1"/>
  <c r="AI34" i="4"/>
  <c r="AJ34" i="4" s="1"/>
  <c r="AB8" i="4"/>
  <c r="AE8" i="4" s="1"/>
  <c r="AI11" i="4"/>
  <c r="AK11" i="4" s="1"/>
  <c r="AB64" i="4"/>
  <c r="AE64" i="4" s="1"/>
  <c r="AB29" i="4"/>
  <c r="AC29" i="4" s="1"/>
  <c r="AI15" i="4"/>
  <c r="AK15" i="4" s="1"/>
  <c r="AH66" i="4"/>
  <c r="AB21" i="4"/>
  <c r="AE21" i="4" s="1"/>
  <c r="AB51" i="4"/>
  <c r="AD51" i="4" s="1"/>
  <c r="AI31" i="4"/>
  <c r="AK31" i="4" s="1"/>
  <c r="AI23" i="4"/>
  <c r="AK23" i="4" s="1"/>
  <c r="AB84" i="4"/>
  <c r="AC84" i="4" s="1"/>
  <c r="AB44" i="4"/>
  <c r="AE44" i="4" s="1"/>
  <c r="AB28" i="4"/>
  <c r="AD28" i="4" s="1"/>
  <c r="AB11" i="4"/>
  <c r="AC11" i="4" s="1"/>
  <c r="AB19" i="4"/>
  <c r="AE19" i="4" s="1"/>
  <c r="AI5" i="4"/>
  <c r="AB67" i="4"/>
  <c r="AD67" i="4" s="1"/>
  <c r="AI10" i="4"/>
  <c r="AK10" i="4" s="1"/>
  <c r="AD66" i="4"/>
  <c r="AE66" i="4"/>
  <c r="AE36" i="4"/>
  <c r="AD36" i="4"/>
  <c r="AE59" i="4"/>
  <c r="AE57" i="4"/>
  <c r="AD68" i="4"/>
  <c r="AD27" i="4"/>
  <c r="AE27" i="4"/>
  <c r="AC36" i="4"/>
  <c r="AC66" i="4"/>
  <c r="AC27" i="4"/>
  <c r="AB47" i="4"/>
  <c r="AB96" i="4"/>
  <c r="AB72" i="4"/>
  <c r="AB5" i="4"/>
  <c r="AB74" i="4"/>
  <c r="AB80" i="4"/>
  <c r="AB48" i="4"/>
  <c r="AB35" i="4"/>
  <c r="AB6" i="4"/>
  <c r="AB82" i="4"/>
  <c r="AB83" i="4"/>
  <c r="AB16" i="4"/>
  <c r="AB52" i="4"/>
  <c r="AB53" i="4"/>
  <c r="AB15" i="4"/>
  <c r="AB14" i="4"/>
  <c r="AB81" i="4"/>
  <c r="AB50" i="4"/>
  <c r="AB97" i="4"/>
  <c r="AB55" i="4"/>
  <c r="AB40" i="4"/>
  <c r="AB58" i="4"/>
  <c r="AB71" i="4"/>
  <c r="AB89" i="4"/>
  <c r="AB60" i="4"/>
  <c r="AB30" i="4"/>
  <c r="AB9" i="4"/>
  <c r="AB26" i="4"/>
  <c r="AB17" i="4"/>
  <c r="AB77" i="4"/>
  <c r="AB43" i="4"/>
  <c r="AB76" i="4"/>
  <c r="AB42" i="4"/>
  <c r="AB95" i="4"/>
  <c r="AB41" i="4"/>
  <c r="AB92" i="4"/>
  <c r="AB93" i="4"/>
  <c r="AB73" i="4"/>
  <c r="AB65" i="4"/>
  <c r="AB45" i="4"/>
  <c r="AB94" i="4"/>
  <c r="AB32" i="4"/>
  <c r="AB18" i="4"/>
  <c r="AB87" i="4"/>
  <c r="AB61" i="4"/>
  <c r="AB12" i="4"/>
  <c r="AB31" i="4"/>
  <c r="AB33" i="4"/>
  <c r="AB34" i="4"/>
  <c r="AB63" i="4"/>
  <c r="AB7" i="4"/>
  <c r="AE7" i="4" s="1"/>
  <c r="AB46" i="4"/>
  <c r="AB86" i="4"/>
  <c r="AB39" i="4"/>
  <c r="AB88" i="4"/>
  <c r="AB10" i="4"/>
  <c r="AB75" i="4"/>
  <c r="AB20" i="4"/>
  <c r="AB79" i="4"/>
  <c r="AB70" i="4"/>
  <c r="AB24" i="4"/>
  <c r="AB49" i="4"/>
  <c r="AB91" i="4"/>
  <c r="AB37" i="4"/>
  <c r="AB22" i="4"/>
  <c r="AB13" i="4"/>
  <c r="AB38" i="4"/>
  <c r="AB54" i="4"/>
  <c r="AB62" i="4"/>
  <c r="AB23" i="4"/>
  <c r="AB90" i="4"/>
  <c r="AB69" i="4"/>
  <c r="AB78" i="4"/>
  <c r="AN4" i="4" l="1"/>
  <c r="AO4" i="4"/>
  <c r="AK4" i="4"/>
  <c r="AR4" i="4" s="1"/>
  <c r="AP27" i="4"/>
  <c r="AQ27" i="4"/>
  <c r="AQ25" i="4"/>
  <c r="AP25" i="4"/>
  <c r="AP19" i="4"/>
  <c r="AQ19" i="4"/>
  <c r="AN22" i="4"/>
  <c r="AM22" i="4"/>
  <c r="AP15" i="4"/>
  <c r="AQ15" i="4"/>
  <c r="AK26" i="4"/>
  <c r="AJ26" i="4"/>
  <c r="AQ10" i="4"/>
  <c r="AP10" i="4"/>
  <c r="AP7" i="4"/>
  <c r="AQ7" i="4"/>
  <c r="AP20" i="4"/>
  <c r="AQ20" i="4"/>
  <c r="AQ6" i="4"/>
  <c r="AP6" i="4"/>
  <c r="AM32" i="4"/>
  <c r="AN32" i="4"/>
  <c r="AP11" i="4"/>
  <c r="AQ11" i="4"/>
  <c r="AM12" i="4"/>
  <c r="AN12" i="4"/>
  <c r="AM29" i="4"/>
  <c r="AN29" i="4"/>
  <c r="AN34" i="4"/>
  <c r="AM34" i="4"/>
  <c r="AM13" i="4"/>
  <c r="AN13" i="4"/>
  <c r="AM4" i="4"/>
  <c r="AQ33" i="4"/>
  <c r="AP33" i="4"/>
  <c r="AJ14" i="4"/>
  <c r="AK14" i="4"/>
  <c r="AQ30" i="4"/>
  <c r="AP30" i="4"/>
  <c r="AP31" i="4"/>
  <c r="AQ31" i="4"/>
  <c r="AQ17" i="4"/>
  <c r="AP17" i="4"/>
  <c r="AQ4" i="4"/>
  <c r="AJ19" i="4"/>
  <c r="AP12" i="4"/>
  <c r="AQ12" i="4"/>
  <c r="AM17" i="4"/>
  <c r="AN17" i="4"/>
  <c r="AM9" i="4"/>
  <c r="AN9" i="4"/>
  <c r="AK32" i="4"/>
  <c r="AC106" i="4"/>
  <c r="AE106" i="4"/>
  <c r="AD106" i="4"/>
  <c r="AQ21" i="4"/>
  <c r="AP21" i="4"/>
  <c r="AP16" i="4"/>
  <c r="AQ16" i="4"/>
  <c r="AQ34" i="4"/>
  <c r="AP34" i="4"/>
  <c r="AP23" i="4"/>
  <c r="AQ23" i="4"/>
  <c r="AP28" i="4"/>
  <c r="AQ28" i="4"/>
  <c r="AM5" i="4"/>
  <c r="AN5" i="4"/>
  <c r="AQ22" i="4"/>
  <c r="AP22" i="4"/>
  <c r="AB109" i="4"/>
  <c r="AP24" i="4"/>
  <c r="AQ24" i="4"/>
  <c r="AJ23" i="4"/>
  <c r="AJ10" i="4"/>
  <c r="AK29" i="4"/>
  <c r="AK13" i="4"/>
  <c r="AP8" i="4"/>
  <c r="AQ8" i="4"/>
  <c r="AM25" i="4"/>
  <c r="AN25" i="4"/>
  <c r="AQ5" i="4"/>
  <c r="AP5" i="4"/>
  <c r="AC59" i="4"/>
  <c r="AM8" i="4"/>
  <c r="AN8" i="4"/>
  <c r="AN18" i="4"/>
  <c r="AM18" i="4"/>
  <c r="AJ33" i="4"/>
  <c r="AQ18" i="4"/>
  <c r="AP18" i="4"/>
  <c r="AN6" i="4"/>
  <c r="AM6" i="4"/>
  <c r="AM11" i="4"/>
  <c r="AN11" i="4"/>
  <c r="AM7" i="4"/>
  <c r="AN7" i="4"/>
  <c r="AJ20" i="4"/>
  <c r="AC57" i="4"/>
  <c r="AJ31" i="4"/>
  <c r="AQ9" i="4"/>
  <c r="AP9" i="4"/>
  <c r="AM15" i="4"/>
  <c r="AN15" i="4"/>
  <c r="AN30" i="4"/>
  <c r="AM30" i="4"/>
  <c r="AD104" i="4"/>
  <c r="AC104" i="4"/>
  <c r="AE104" i="4"/>
  <c r="AJ21" i="4"/>
  <c r="AM16" i="4"/>
  <c r="AN16" i="4"/>
  <c r="AM28" i="4"/>
  <c r="AN28" i="4"/>
  <c r="AJ27" i="4"/>
  <c r="AO107" i="4"/>
  <c r="AR107" i="4"/>
  <c r="AE56" i="4"/>
  <c r="AC56" i="4"/>
  <c r="AC64" i="4"/>
  <c r="AE85" i="4"/>
  <c r="AI109" i="4"/>
  <c r="AI112" i="4" s="1"/>
  <c r="AD25" i="4"/>
  <c r="AC25" i="4"/>
  <c r="AE84" i="4"/>
  <c r="AD64" i="4"/>
  <c r="AD85" i="4"/>
  <c r="AC67" i="4"/>
  <c r="AD29" i="4"/>
  <c r="AE29" i="4"/>
  <c r="AD84" i="4"/>
  <c r="AD21" i="4"/>
  <c r="AC68" i="4"/>
  <c r="AC44" i="4"/>
  <c r="AC28" i="4"/>
  <c r="AD8" i="4"/>
  <c r="AE28" i="4"/>
  <c r="AC51" i="4"/>
  <c r="AC8" i="4"/>
  <c r="AE51" i="4"/>
  <c r="AD44" i="4"/>
  <c r="AC21" i="4"/>
  <c r="AE11" i="4"/>
  <c r="AC19" i="4"/>
  <c r="AD19" i="4"/>
  <c r="AE67" i="4"/>
  <c r="AD11" i="4"/>
  <c r="AE45" i="4"/>
  <c r="AD45" i="4"/>
  <c r="AE38" i="4"/>
  <c r="AD38" i="4"/>
  <c r="AD65" i="4"/>
  <c r="AE65" i="4"/>
  <c r="AE6" i="4"/>
  <c r="AD6" i="4"/>
  <c r="AE24" i="4"/>
  <c r="AD24" i="4"/>
  <c r="AD60" i="4"/>
  <c r="AE60" i="4"/>
  <c r="AE39" i="4"/>
  <c r="AD39" i="4"/>
  <c r="AD12" i="4"/>
  <c r="AE12" i="4"/>
  <c r="AE22" i="4"/>
  <c r="AD22" i="4"/>
  <c r="AD20" i="4"/>
  <c r="AE20" i="4"/>
  <c r="AE46" i="4"/>
  <c r="AD46" i="4"/>
  <c r="AD61" i="4"/>
  <c r="AE61" i="4"/>
  <c r="AD17" i="4"/>
  <c r="AE17" i="4"/>
  <c r="AD58" i="4"/>
  <c r="AE58" i="4"/>
  <c r="AE14" i="4"/>
  <c r="AD14" i="4"/>
  <c r="AD35" i="4"/>
  <c r="AE35" i="4"/>
  <c r="AE47" i="4"/>
  <c r="AD47" i="4"/>
  <c r="AD33" i="4"/>
  <c r="AE33" i="4"/>
  <c r="AD5" i="4"/>
  <c r="AE5" i="4"/>
  <c r="AE31" i="4"/>
  <c r="AD31" i="4"/>
  <c r="AD50" i="4"/>
  <c r="AE50" i="4"/>
  <c r="AE15" i="4"/>
  <c r="AD15" i="4"/>
  <c r="AD10" i="4"/>
  <c r="AE10" i="4"/>
  <c r="AE48" i="4"/>
  <c r="AD48" i="4"/>
  <c r="AD43" i="4"/>
  <c r="AE43" i="4"/>
  <c r="AE63" i="4"/>
  <c r="AD63" i="4"/>
  <c r="AD41" i="4"/>
  <c r="AE41" i="4"/>
  <c r="AE53" i="4"/>
  <c r="AD53" i="4"/>
  <c r="AE23" i="4"/>
  <c r="AD23" i="4"/>
  <c r="AE32" i="4"/>
  <c r="AD32" i="4"/>
  <c r="AD9" i="4"/>
  <c r="AE9" i="4"/>
  <c r="AE55" i="4"/>
  <c r="AD55" i="4"/>
  <c r="AD52" i="4"/>
  <c r="AE52" i="4"/>
  <c r="AE54" i="4"/>
  <c r="AD54" i="4"/>
  <c r="AE13" i="4"/>
  <c r="AD13" i="4"/>
  <c r="AD7" i="4"/>
  <c r="AD26" i="4"/>
  <c r="AE26" i="4"/>
  <c r="AD37" i="4"/>
  <c r="AE37" i="4"/>
  <c r="AD18" i="4"/>
  <c r="AE18" i="4"/>
  <c r="AE40" i="4"/>
  <c r="AD40" i="4"/>
  <c r="AD34" i="4"/>
  <c r="AE34" i="4"/>
  <c r="AE62" i="4"/>
  <c r="AD62" i="4"/>
  <c r="AD49" i="4"/>
  <c r="AE49" i="4"/>
  <c r="AC4" i="4"/>
  <c r="AD4" i="4"/>
  <c r="AE4" i="4"/>
  <c r="AD42" i="4"/>
  <c r="AE42" i="4"/>
  <c r="AE30" i="4"/>
  <c r="AD30" i="4"/>
  <c r="AE16" i="4"/>
  <c r="AD16" i="4"/>
  <c r="AD79" i="4"/>
  <c r="AE79" i="4"/>
  <c r="AD77" i="4"/>
  <c r="AE77" i="4"/>
  <c r="AE69" i="4"/>
  <c r="AD69" i="4"/>
  <c r="AD73" i="4"/>
  <c r="AE73" i="4"/>
  <c r="AD96" i="4"/>
  <c r="AE96" i="4"/>
  <c r="AE92" i="4"/>
  <c r="AD92" i="4"/>
  <c r="AD80" i="4"/>
  <c r="AE80" i="4"/>
  <c r="AD71" i="4"/>
  <c r="AE71" i="4"/>
  <c r="AD93" i="4"/>
  <c r="AE93" i="4"/>
  <c r="AE75" i="4"/>
  <c r="AD75" i="4"/>
  <c r="AD95" i="4"/>
  <c r="AE95" i="4"/>
  <c r="AD97" i="4"/>
  <c r="AE97" i="4"/>
  <c r="AD74" i="4"/>
  <c r="AE74" i="4"/>
  <c r="AD86" i="4"/>
  <c r="AE86" i="4"/>
  <c r="AD81" i="4"/>
  <c r="AE81" i="4"/>
  <c r="AD78" i="4"/>
  <c r="AE78" i="4"/>
  <c r="AD87" i="4"/>
  <c r="AE87" i="4"/>
  <c r="AD90" i="4"/>
  <c r="AE90" i="4"/>
  <c r="AE91" i="4"/>
  <c r="AD91" i="4"/>
  <c r="AD88" i="4"/>
  <c r="AE88" i="4"/>
  <c r="AD94" i="4"/>
  <c r="AE94" i="4"/>
  <c r="AE76" i="4"/>
  <c r="AD76" i="4"/>
  <c r="AE83" i="4"/>
  <c r="AD83" i="4"/>
  <c r="AD70" i="4"/>
  <c r="AE70" i="4"/>
  <c r="AD89" i="4"/>
  <c r="AE89" i="4"/>
  <c r="AD82" i="4"/>
  <c r="AE82" i="4"/>
  <c r="AD72" i="4"/>
  <c r="AE72" i="4"/>
  <c r="AC77" i="4"/>
  <c r="AC12" i="4"/>
  <c r="AC6" i="4"/>
  <c r="AC22" i="4"/>
  <c r="AC93" i="4"/>
  <c r="AC35" i="4"/>
  <c r="AC92" i="4"/>
  <c r="AC15" i="4"/>
  <c r="AC13" i="4"/>
  <c r="AC71" i="4"/>
  <c r="AC75" i="4"/>
  <c r="AC26" i="4"/>
  <c r="AC90" i="4"/>
  <c r="AC10" i="4"/>
  <c r="AC63" i="4"/>
  <c r="AC18" i="4"/>
  <c r="AC41" i="4"/>
  <c r="AC40" i="4"/>
  <c r="AC53" i="4"/>
  <c r="AC48" i="4"/>
  <c r="AC73" i="4"/>
  <c r="AC20" i="4"/>
  <c r="AC17" i="4"/>
  <c r="AC14" i="4"/>
  <c r="AC87" i="4"/>
  <c r="AC23" i="4"/>
  <c r="AC34" i="4"/>
  <c r="AC95" i="4"/>
  <c r="AC55" i="4"/>
  <c r="AC80" i="4"/>
  <c r="AC79" i="4"/>
  <c r="AC81" i="4"/>
  <c r="AC78" i="4"/>
  <c r="AC61" i="4"/>
  <c r="AC58" i="4"/>
  <c r="AC47" i="4"/>
  <c r="AC69" i="4"/>
  <c r="AC7" i="4"/>
  <c r="AC37" i="4"/>
  <c r="AC91" i="4"/>
  <c r="AC32" i="4"/>
  <c r="AC9" i="4"/>
  <c r="AC52" i="4"/>
  <c r="AC62" i="4"/>
  <c r="AC49" i="4"/>
  <c r="AC88" i="4"/>
  <c r="AC94" i="4"/>
  <c r="AC42" i="4"/>
  <c r="AC30" i="4"/>
  <c r="AC97" i="4"/>
  <c r="AC16" i="4"/>
  <c r="AC74" i="4"/>
  <c r="AC24" i="4"/>
  <c r="AC33" i="4"/>
  <c r="AC45" i="4"/>
  <c r="AC60" i="4"/>
  <c r="AC5" i="4"/>
  <c r="AC86" i="4"/>
  <c r="AC96" i="4"/>
  <c r="AC46" i="4"/>
  <c r="AC54" i="4"/>
  <c r="AC76" i="4"/>
  <c r="AC83" i="4"/>
  <c r="AC38" i="4"/>
  <c r="AC70" i="4"/>
  <c r="AC39" i="4"/>
  <c r="AC31" i="4"/>
  <c r="AC65" i="4"/>
  <c r="AC43" i="4"/>
  <c r="AC89" i="4"/>
  <c r="AC50" i="4"/>
  <c r="AC82" i="4"/>
  <c r="AC72" i="4"/>
  <c r="AP4" i="4" l="1"/>
  <c r="E21" i="4"/>
  <c r="AM21" i="4"/>
  <c r="AN21" i="4"/>
  <c r="AM19" i="4"/>
  <c r="AN19" i="4"/>
  <c r="C21" i="4"/>
  <c r="AQ13" i="4"/>
  <c r="AP13" i="4"/>
  <c r="AP32" i="4"/>
  <c r="AQ32" i="4"/>
  <c r="AQ14" i="4"/>
  <c r="AP14" i="4"/>
  <c r="AM31" i="4"/>
  <c r="AN31" i="4"/>
  <c r="AQ29" i="4"/>
  <c r="AP29" i="4"/>
  <c r="AN14" i="4"/>
  <c r="AM14" i="4"/>
  <c r="AM27" i="4"/>
  <c r="AN27" i="4"/>
  <c r="AN10" i="4"/>
  <c r="AM10" i="4"/>
  <c r="AN26" i="4"/>
  <c r="AM26" i="4"/>
  <c r="AM20" i="4"/>
  <c r="AN20" i="4"/>
  <c r="AM23" i="4"/>
  <c r="AN23" i="4"/>
  <c r="AQ26" i="4"/>
  <c r="AP26" i="4"/>
  <c r="AM33" i="4"/>
  <c r="AN33" i="4"/>
  <c r="E22" i="4"/>
  <c r="AE109" i="4"/>
  <c r="AE112" i="4" s="1"/>
  <c r="AD109" i="4"/>
  <c r="AD112" i="4" s="1"/>
  <c r="AP104" i="4"/>
  <c r="AQ104" i="4"/>
  <c r="AQ105" i="4"/>
  <c r="AP105" i="4"/>
  <c r="AC109" i="4"/>
  <c r="AC112" i="4" s="1"/>
  <c r="AP107" i="4"/>
  <c r="AQ107" i="4"/>
  <c r="AR106" i="4"/>
  <c r="AR109" i="4" s="1"/>
  <c r="AR112" i="4" s="1"/>
  <c r="AM104" i="4"/>
  <c r="AN104" i="4"/>
  <c r="AM105" i="4"/>
  <c r="AN105" i="4"/>
  <c r="AM107" i="4"/>
  <c r="AN107" i="4"/>
  <c r="AJ109" i="4" l="1"/>
  <c r="AJ112" i="4" s="1"/>
  <c r="C37" i="4" s="1"/>
  <c r="AO106" i="4"/>
  <c r="AO109" i="4" s="1"/>
  <c r="AO112" i="4" s="1"/>
  <c r="AP106" i="4"/>
  <c r="AP109" i="4" s="1"/>
  <c r="AP112" i="4" s="1"/>
  <c r="AQ106" i="4"/>
  <c r="AQ109" i="4" s="1"/>
  <c r="AQ112" i="4" s="1"/>
  <c r="AK109" i="4"/>
  <c r="AK112" i="4" s="1"/>
  <c r="D37" i="4" s="1"/>
  <c r="AM106" i="4"/>
  <c r="AM109" i="4" s="1"/>
  <c r="AN106" i="4"/>
  <c r="AN109" i="4" s="1"/>
  <c r="AN112" i="4" s="1"/>
  <c r="E32" i="4" l="1"/>
  <c r="E31" i="4"/>
  <c r="E30" i="4"/>
  <c r="F32" i="4"/>
  <c r="F31" i="4"/>
  <c r="F30" i="4"/>
  <c r="D31" i="4"/>
  <c r="D30" i="4"/>
  <c r="D32" i="4"/>
  <c r="D25" i="4"/>
  <c r="F25" i="4" s="1"/>
  <c r="AM112" i="4"/>
  <c r="C32" i="4" l="1"/>
  <c r="C31" i="4"/>
  <c r="C30" i="4"/>
  <c r="C25" i="4"/>
  <c r="E2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<sst xmlns="http://schemas.openxmlformats.org/spreadsheetml/2006/main" count="1478" uniqueCount="99">
  <si>
    <t>member_id</t>
  </si>
  <si>
    <t>zone</t>
  </si>
  <si>
    <t>member_class</t>
  </si>
  <si>
    <t>length_m</t>
  </si>
  <si>
    <t>D_m</t>
  </si>
  <si>
    <t>t_m</t>
  </si>
  <si>
    <t>rho_kgm3</t>
  </si>
  <si>
    <t>area_m2</t>
  </si>
  <si>
    <t>mass_kg</t>
  </si>
  <si>
    <t>reuse_level_A</t>
  </si>
  <si>
    <t>reuse_category_A</t>
  </si>
  <si>
    <t>reuse_level_B</t>
  </si>
  <si>
    <t>reuse_category_B</t>
  </si>
  <si>
    <t>l0_loss_mm</t>
  </si>
  <si>
    <t>l0_allowance_mm</t>
  </si>
  <si>
    <t>l0_pass</t>
  </si>
  <si>
    <t>l2_section_loss_frac</t>
  </si>
  <si>
    <t>l2_section_ok</t>
  </si>
  <si>
    <t>l2_D25</t>
  </si>
  <si>
    <t>l2_fatigue_ok</t>
  </si>
  <si>
    <t>l2_pass</t>
  </si>
  <si>
    <t>l2_capacity_N_b_Rd_N</t>
  </si>
  <si>
    <t>l2_capacity_N_c_Rd_N</t>
  </si>
  <si>
    <t>l3_D25</t>
  </si>
  <si>
    <t>l3_fatigue_ok</t>
  </si>
  <si>
    <t>l3_loss_mm</t>
  </si>
  <si>
    <t>l3_corrosion_limit_mm</t>
  </si>
  <si>
    <t>l3_corrosion_ok</t>
  </si>
  <si>
    <t>l3_pass</t>
  </si>
  <si>
    <t>l3_note</t>
  </si>
  <si>
    <t>in_structural_reuse_bay_A</t>
  </si>
  <si>
    <t>in_structural_reuse_bay_B</t>
  </si>
  <si>
    <t>j1</t>
  </si>
  <si>
    <t>j2</t>
  </si>
  <si>
    <t>z1_m</t>
  </si>
  <si>
    <t>z2_m</t>
  </si>
  <si>
    <t>submerged</t>
  </si>
  <si>
    <t>leg</t>
  </si>
  <si>
    <t>L2</t>
  </si>
  <si>
    <t>L2 - Component reuse</t>
  </si>
  <si>
    <t>splash</t>
  </si>
  <si>
    <t>L3</t>
  </si>
  <si>
    <t>L3 - Downgraded reuse</t>
  </si>
  <si>
    <t>atmospheric</t>
  </si>
  <si>
    <t>brace</t>
  </si>
  <si>
    <t>Note</t>
  </si>
  <si>
    <t>length_m is the FULL joint-to-joint member length (SubDyn node-to-node distance). It does NOT subtract joint-can material at either end -- cutting the can off is left to you, per your own request.</t>
  </si>
  <si>
    <t>Members ending at a boundary condition (mudline/pile transition) rather than a second real joint only lose a can at ONE end, not two -- check j1/j2 against model['reaction_joints']/['interface_joints'] if you need this.</t>
  </si>
  <si>
    <t>mass_kg = area_m2 x length_m x rho_kgm3, using each member's own PropSet density (not a single assumed steel density).</t>
  </si>
  <si>
    <t>reuse_level/category_A and _B are TWO INDEPENDENT verdicts (Retrofit A vs Retrofit B) -- do not AND them together. See stage4_reuse_classification.py and the reuse-acceptance-criteria memory for the full L0-L4 definitions.</t>
  </si>
  <si>
    <t>No emission factor, credit basis (vs. primary vs. recycled steel), or carbon-accounting boundary has been chosen yet -- that is the open methodology decision this workbook is feeding into.</t>
  </si>
  <si>
    <t>Scenario</t>
  </si>
  <si>
    <t>m</t>
  </si>
  <si>
    <t>Cut off Leg</t>
  </si>
  <si>
    <t>Cut off Brace</t>
  </si>
  <si>
    <t>steel density</t>
  </si>
  <si>
    <t>kg/m3</t>
  </si>
  <si>
    <t>A</t>
  </si>
  <si>
    <t>corrosion leg</t>
  </si>
  <si>
    <t>corrosion brace</t>
  </si>
  <si>
    <t>Year</t>
  </si>
  <si>
    <t>y</t>
  </si>
  <si>
    <t>kg/kg</t>
  </si>
  <si>
    <t>New length</t>
  </si>
  <si>
    <t>New crosssection</t>
  </si>
  <si>
    <t>m/y</t>
  </si>
  <si>
    <t>Mass of Reuse Member</t>
  </si>
  <si>
    <t>Recycling</t>
  </si>
  <si>
    <t>L</t>
  </si>
  <si>
    <t>SUM</t>
  </si>
  <si>
    <t>kg steel</t>
  </si>
  <si>
    <t>kg CO2</t>
  </si>
  <si>
    <t>EF_BOD</t>
  </si>
  <si>
    <t>EF_EAF</t>
  </si>
  <si>
    <t>EF_REUSE</t>
  </si>
  <si>
    <t>L1</t>
  </si>
  <si>
    <t>L4</t>
  </si>
  <si>
    <t>+ avoided fabrication</t>
  </si>
  <si>
    <t>A (NS=BOD)</t>
  </si>
  <si>
    <t>B (NS=EAF)</t>
  </si>
  <si>
    <t>SAVINGS FOR ATUAL STRUCTURE</t>
  </si>
  <si>
    <t>SAVING IF ALL MEMBER WERE TREATED TO CERTAIN PATHWAY</t>
  </si>
  <si>
    <t>MANUAL OVERRIDE LENGTH</t>
  </si>
  <si>
    <t>end1_thickness_increase_A_mm</t>
  </si>
  <si>
    <t>end1_thickness_increase_B_mm</t>
  </si>
  <si>
    <t>end2_thickness_increase_A_mm</t>
  </si>
  <si>
    <t>end2_thickness_increase_B_mm</t>
  </si>
  <si>
    <t>AVERAGE INCREASE</t>
  </si>
  <si>
    <t>A of increase Resize A</t>
  </si>
  <si>
    <t>A of increase Resize B</t>
  </si>
  <si>
    <t>Mass Recycling no thickness increase</t>
  </si>
  <si>
    <t>Including increase A</t>
  </si>
  <si>
    <t>Resize A</t>
  </si>
  <si>
    <t>Resize B</t>
  </si>
  <si>
    <t>EF REUSE</t>
  </si>
  <si>
    <t>kg CO3</t>
  </si>
  <si>
    <t>Mass L2</t>
  </si>
  <si>
    <t>Mass L3</t>
  </si>
  <si>
    <t>Mass 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</si>
</sst>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3"/>
  <sheetViews>
    <sheetView workbookViewId="0"/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</v>
      </c>
      <c r="B2" t="s">
        <v>36</v>
      </c>
      <c r="C2" t="s">
        <v>37</v>
      </c>
      <c r="D2">
        <v>0.5</v>
      </c>
      <c r="E2">
        <v>1.2</v>
      </c>
      <c r="F2">
        <v>0.05</v>
      </c>
      <c r="G2">
        <v>7850</v>
      </c>
      <c r="H2">
        <v>0.18064157758141311</v>
      </c>
      <c r="I2">
        <v>709.01819200704631</v>
      </c>
      <c r="J2" t="s">
        <v>38</v>
      </c>
      <c r="K2" t="s">
        <v>39</v>
      </c>
      <c r="L2" t="s">
        <v>38</v>
      </c>
      <c r="M2" t="s">
        <v>39</v>
      </c>
      <c r="N2">
        <v>0</v>
      </c>
      <c r="O2">
        <v>33.759999999999678</v>
      </c>
      <c r="P2" t="b">
        <v>1</v>
      </c>
      <c r="Q2">
        <v>0</v>
      </c>
      <c r="R2" t="b">
        <v>1</v>
      </c>
      <c r="S2">
        <v>9.4649999999999995E-3</v>
      </c>
      <c r="T2" t="b">
        <v>1</v>
      </c>
      <c r="U2" t="b">
        <v>1</v>
      </c>
      <c r="V2">
        <v>41253638.385946907</v>
      </c>
      <c r="W2">
        <v>35485717.018957444</v>
      </c>
      <c r="AE2" t="b">
        <v>0</v>
      </c>
      <c r="AF2" t="b">
        <v>0</v>
      </c>
      <c r="AG2">
        <v>1</v>
      </c>
      <c r="AH2">
        <v>2</v>
      </c>
      <c r="AI2">
        <v>-45.5</v>
      </c>
      <c r="AJ2">
        <v>-45</v>
      </c>
    </row>
    <row r="3" spans="1:36" x14ac:dyDescent="0.25">
      <c r="A3">
        <v>2</v>
      </c>
      <c r="B3" t="s">
        <v>36</v>
      </c>
      <c r="C3" t="s">
        <v>37</v>
      </c>
      <c r="D3">
        <v>1.000089495995236</v>
      </c>
      <c r="E3">
        <v>1.2</v>
      </c>
      <c r="F3">
        <v>0.05</v>
      </c>
      <c r="G3">
        <v>7850</v>
      </c>
      <c r="H3">
        <v>0.18064157758141311</v>
      </c>
      <c r="I3">
        <v>1418.163292591561</v>
      </c>
      <c r="J3" t="s">
        <v>38</v>
      </c>
      <c r="K3" t="s">
        <v>39</v>
      </c>
      <c r="L3" t="s">
        <v>38</v>
      </c>
      <c r="M3" t="s">
        <v>39</v>
      </c>
      <c r="N3">
        <v>0</v>
      </c>
      <c r="O3">
        <v>33.619999999999663</v>
      </c>
      <c r="P3" t="b">
        <v>1</v>
      </c>
      <c r="Q3">
        <v>0</v>
      </c>
      <c r="R3" t="b">
        <v>1</v>
      </c>
      <c r="S3">
        <v>4.9370000000000004E-3</v>
      </c>
      <c r="T3" t="b">
        <v>1</v>
      </c>
      <c r="U3" t="b">
        <v>1</v>
      </c>
      <c r="V3">
        <v>40680511.635966472</v>
      </c>
      <c r="W3">
        <v>35485717.018957444</v>
      </c>
      <c r="AE3" t="b">
        <v>0</v>
      </c>
      <c r="AF3" t="b">
        <v>0</v>
      </c>
      <c r="AG3">
        <v>2</v>
      </c>
      <c r="AH3">
        <v>3</v>
      </c>
      <c r="AI3">
        <v>-45</v>
      </c>
      <c r="AJ3">
        <v>-44.000999999999998</v>
      </c>
    </row>
    <row r="4" spans="1:36" x14ac:dyDescent="0.25">
      <c r="A4">
        <v>3</v>
      </c>
      <c r="B4" t="s">
        <v>36</v>
      </c>
      <c r="C4" t="s">
        <v>37</v>
      </c>
      <c r="D4">
        <v>0.87489656531500426</v>
      </c>
      <c r="E4">
        <v>1.2</v>
      </c>
      <c r="F4">
        <v>0.05</v>
      </c>
      <c r="G4">
        <v>7850</v>
      </c>
      <c r="H4">
        <v>0.18064157758141311</v>
      </c>
      <c r="I4">
        <v>1240.6351618656381</v>
      </c>
      <c r="J4" t="s">
        <v>38</v>
      </c>
      <c r="K4" t="s">
        <v>39</v>
      </c>
      <c r="L4" t="s">
        <v>38</v>
      </c>
      <c r="M4" t="s">
        <v>39</v>
      </c>
      <c r="N4">
        <v>0</v>
      </c>
      <c r="O4">
        <v>33.63999999999966</v>
      </c>
      <c r="P4" t="b">
        <v>1</v>
      </c>
      <c r="Q4">
        <v>0</v>
      </c>
      <c r="R4" t="b">
        <v>1</v>
      </c>
      <c r="S4">
        <v>2.313E-3</v>
      </c>
      <c r="T4" t="b">
        <v>1</v>
      </c>
      <c r="U4" t="b">
        <v>1</v>
      </c>
      <c r="V4">
        <v>40822254.773742951</v>
      </c>
      <c r="W4">
        <v>35485717.018957444</v>
      </c>
      <c r="AE4" t="b">
        <v>0</v>
      </c>
      <c r="AF4" t="b">
        <v>0</v>
      </c>
      <c r="AG4">
        <v>3</v>
      </c>
      <c r="AH4">
        <v>4</v>
      </c>
      <c r="AI4">
        <v>-44.000999999999998</v>
      </c>
      <c r="AJ4">
        <v>-43.127000000000002</v>
      </c>
    </row>
    <row r="5" spans="1:36" x14ac:dyDescent="0.25">
      <c r="A5">
        <v>4</v>
      </c>
      <c r="B5" t="s">
        <v>36</v>
      </c>
      <c r="C5" t="s">
        <v>37</v>
      </c>
      <c r="D5">
        <v>18.53282603922025</v>
      </c>
      <c r="E5">
        <v>1.2</v>
      </c>
      <c r="F5">
        <v>0.05</v>
      </c>
      <c r="G5">
        <v>7850</v>
      </c>
      <c r="H5">
        <v>0.18064157758141311</v>
      </c>
      <c r="I5">
        <v>26280.221622218101</v>
      </c>
      <c r="J5" t="s">
        <v>38</v>
      </c>
      <c r="K5" t="s">
        <v>39</v>
      </c>
      <c r="L5" t="s">
        <v>38</v>
      </c>
      <c r="M5" t="s">
        <v>39</v>
      </c>
      <c r="N5">
        <v>0</v>
      </c>
      <c r="O5">
        <v>27.359999999999509</v>
      </c>
      <c r="P5" t="b">
        <v>1</v>
      </c>
      <c r="Q5">
        <v>0</v>
      </c>
      <c r="R5" t="b">
        <v>1</v>
      </c>
      <c r="S5">
        <v>4.8799999999999999E-4</v>
      </c>
      <c r="T5" t="b">
        <v>1</v>
      </c>
      <c r="U5" t="b">
        <v>1</v>
      </c>
      <c r="V5">
        <v>25286370.939080819</v>
      </c>
      <c r="W5">
        <v>35485717.018957444</v>
      </c>
      <c r="AE5" t="b">
        <v>0</v>
      </c>
      <c r="AF5" t="b">
        <v>0</v>
      </c>
      <c r="AG5">
        <v>4</v>
      </c>
      <c r="AH5">
        <v>5</v>
      </c>
      <c r="AI5">
        <v>-43.127000000000002</v>
      </c>
      <c r="AJ5">
        <v>-24.614000000000001</v>
      </c>
    </row>
    <row r="6" spans="1:36" x14ac:dyDescent="0.25">
      <c r="A6">
        <v>5</v>
      </c>
      <c r="B6" t="s">
        <v>36</v>
      </c>
      <c r="C6" t="s">
        <v>37</v>
      </c>
      <c r="D6">
        <v>0.5</v>
      </c>
      <c r="E6">
        <v>1.2</v>
      </c>
      <c r="F6">
        <v>0.05</v>
      </c>
      <c r="G6">
        <v>7850</v>
      </c>
      <c r="H6">
        <v>0.18064157758141311</v>
      </c>
      <c r="I6">
        <v>709.01819200704631</v>
      </c>
      <c r="J6" t="s">
        <v>38</v>
      </c>
      <c r="K6" t="s">
        <v>39</v>
      </c>
      <c r="L6" t="s">
        <v>38</v>
      </c>
      <c r="M6" t="s">
        <v>39</v>
      </c>
      <c r="N6">
        <v>0</v>
      </c>
      <c r="O6">
        <v>38.740000000000457</v>
      </c>
      <c r="P6" t="b">
        <v>1</v>
      </c>
      <c r="Q6">
        <v>0</v>
      </c>
      <c r="R6" t="b">
        <v>1</v>
      </c>
      <c r="S6">
        <v>1.1407E-2</v>
      </c>
      <c r="T6" t="b">
        <v>1</v>
      </c>
      <c r="U6" t="b">
        <v>1</v>
      </c>
      <c r="V6">
        <v>41253638.385946907</v>
      </c>
      <c r="W6">
        <v>35485717.018957444</v>
      </c>
      <c r="AE6" t="b">
        <v>0</v>
      </c>
      <c r="AF6" t="b">
        <v>0</v>
      </c>
      <c r="AG6">
        <v>6</v>
      </c>
      <c r="AH6">
        <v>7</v>
      </c>
      <c r="AI6">
        <v>-45.5</v>
      </c>
      <c r="AJ6">
        <v>-45</v>
      </c>
    </row>
    <row r="7" spans="1:36" x14ac:dyDescent="0.25">
      <c r="A7">
        <v>6</v>
      </c>
      <c r="B7" t="s">
        <v>36</v>
      </c>
      <c r="C7" t="s">
        <v>37</v>
      </c>
      <c r="D7">
        <v>1.000089495995236</v>
      </c>
      <c r="E7">
        <v>1.2</v>
      </c>
      <c r="F7">
        <v>0.05</v>
      </c>
      <c r="G7">
        <v>7850</v>
      </c>
      <c r="H7">
        <v>0.18064157758141311</v>
      </c>
      <c r="I7">
        <v>1418.163292591561</v>
      </c>
      <c r="J7" t="s">
        <v>38</v>
      </c>
      <c r="K7" t="s">
        <v>39</v>
      </c>
      <c r="L7" t="s">
        <v>38</v>
      </c>
      <c r="M7" t="s">
        <v>39</v>
      </c>
      <c r="N7">
        <v>0</v>
      </c>
      <c r="O7">
        <v>38.640000000000441</v>
      </c>
      <c r="P7" t="b">
        <v>1</v>
      </c>
      <c r="Q7">
        <v>0</v>
      </c>
      <c r="R7" t="b">
        <v>1</v>
      </c>
      <c r="S7">
        <v>6.0930000000000003E-3</v>
      </c>
      <c r="T7" t="b">
        <v>1</v>
      </c>
      <c r="U7" t="b">
        <v>1</v>
      </c>
      <c r="V7">
        <v>40680511.635966472</v>
      </c>
      <c r="W7">
        <v>35485717.018957444</v>
      </c>
      <c r="AE7" t="b">
        <v>0</v>
      </c>
      <c r="AF7" t="b">
        <v>0</v>
      </c>
      <c r="AG7">
        <v>7</v>
      </c>
      <c r="AH7">
        <v>8</v>
      </c>
      <c r="AI7">
        <v>-45</v>
      </c>
      <c r="AJ7">
        <v>-44.000999999999998</v>
      </c>
    </row>
    <row r="8" spans="1:36" x14ac:dyDescent="0.25">
      <c r="A8">
        <v>7</v>
      </c>
      <c r="B8" t="s">
        <v>36</v>
      </c>
      <c r="C8" t="s">
        <v>37</v>
      </c>
      <c r="D8">
        <v>0.87489656531500426</v>
      </c>
      <c r="E8">
        <v>1.2</v>
      </c>
      <c r="F8">
        <v>0.05</v>
      </c>
      <c r="G8">
        <v>7850</v>
      </c>
      <c r="H8">
        <v>0.18064157758141311</v>
      </c>
      <c r="I8">
        <v>1240.6351618656381</v>
      </c>
      <c r="J8" t="s">
        <v>38</v>
      </c>
      <c r="K8" t="s">
        <v>39</v>
      </c>
      <c r="L8" t="s">
        <v>38</v>
      </c>
      <c r="M8" t="s">
        <v>39</v>
      </c>
      <c r="N8">
        <v>0</v>
      </c>
      <c r="O8">
        <v>38.660000000000451</v>
      </c>
      <c r="P8" t="b">
        <v>1</v>
      </c>
      <c r="Q8">
        <v>0</v>
      </c>
      <c r="R8" t="b">
        <v>1</v>
      </c>
      <c r="S8">
        <v>3.0850000000000001E-3</v>
      </c>
      <c r="T8" t="b">
        <v>1</v>
      </c>
      <c r="U8" t="b">
        <v>1</v>
      </c>
      <c r="V8">
        <v>40822254.773742951</v>
      </c>
      <c r="W8">
        <v>35485717.018957444</v>
      </c>
      <c r="AE8" t="b">
        <v>0</v>
      </c>
      <c r="AF8" t="b">
        <v>0</v>
      </c>
      <c r="AG8">
        <v>8</v>
      </c>
      <c r="AH8">
        <v>9</v>
      </c>
      <c r="AI8">
        <v>-44.000999999999998</v>
      </c>
      <c r="AJ8">
        <v>-43.127000000000002</v>
      </c>
    </row>
    <row r="9" spans="1:36" x14ac:dyDescent="0.25">
      <c r="A9">
        <v>8</v>
      </c>
      <c r="B9" t="s">
        <v>36</v>
      </c>
      <c r="C9" t="s">
        <v>37</v>
      </c>
      <c r="D9">
        <v>18.53282603922025</v>
      </c>
      <c r="E9">
        <v>1.2</v>
      </c>
      <c r="F9">
        <v>0.05</v>
      </c>
      <c r="G9">
        <v>7850</v>
      </c>
      <c r="H9">
        <v>0.18064157758141311</v>
      </c>
      <c r="I9">
        <v>26280.221622218101</v>
      </c>
      <c r="J9" t="s">
        <v>38</v>
      </c>
      <c r="K9" t="s">
        <v>39</v>
      </c>
      <c r="L9" t="s">
        <v>38</v>
      </c>
      <c r="M9" t="s">
        <v>39</v>
      </c>
      <c r="N9">
        <v>0</v>
      </c>
      <c r="O9">
        <v>35.23999999999991</v>
      </c>
      <c r="P9" t="b">
        <v>1</v>
      </c>
      <c r="Q9">
        <v>0</v>
      </c>
      <c r="R9" t="b">
        <v>1</v>
      </c>
      <c r="S9">
        <v>6.4000000000000005E-4</v>
      </c>
      <c r="T9" t="b">
        <v>1</v>
      </c>
      <c r="U9" t="b">
        <v>1</v>
      </c>
      <c r="V9">
        <v>25286370.939080819</v>
      </c>
      <c r="W9">
        <v>35485717.018957444</v>
      </c>
      <c r="AE9" t="b">
        <v>0</v>
      </c>
      <c r="AF9" t="b">
        <v>0</v>
      </c>
      <c r="AG9">
        <v>9</v>
      </c>
      <c r="AH9">
        <v>10</v>
      </c>
      <c r="AI9">
        <v>-43.127000000000002</v>
      </c>
      <c r="AJ9">
        <v>-24.614000000000001</v>
      </c>
    </row>
    <row r="10" spans="1:36" x14ac:dyDescent="0.25">
      <c r="A10">
        <v>9</v>
      </c>
      <c r="B10" t="s">
        <v>36</v>
      </c>
      <c r="C10" t="s">
        <v>37</v>
      </c>
      <c r="D10">
        <v>0.5</v>
      </c>
      <c r="E10">
        <v>1.2</v>
      </c>
      <c r="F10">
        <v>0.05</v>
      </c>
      <c r="G10">
        <v>7850</v>
      </c>
      <c r="H10">
        <v>0.18064157758141311</v>
      </c>
      <c r="I10">
        <v>709.01819200704631</v>
      </c>
      <c r="J10" t="s">
        <v>38</v>
      </c>
      <c r="K10" t="s">
        <v>39</v>
      </c>
      <c r="L10" t="s">
        <v>38</v>
      </c>
      <c r="M10" t="s">
        <v>39</v>
      </c>
      <c r="N10">
        <v>0</v>
      </c>
      <c r="O10">
        <v>38.520000000000422</v>
      </c>
      <c r="P10" t="b">
        <v>1</v>
      </c>
      <c r="Q10">
        <v>0</v>
      </c>
      <c r="R10" t="b">
        <v>1</v>
      </c>
      <c r="S10">
        <v>8.7100000000000007E-3</v>
      </c>
      <c r="T10" t="b">
        <v>1</v>
      </c>
      <c r="U10" t="b">
        <v>1</v>
      </c>
      <c r="V10">
        <v>41253638.385946907</v>
      </c>
      <c r="W10">
        <v>35485717.018957444</v>
      </c>
      <c r="AE10" t="b">
        <v>0</v>
      </c>
      <c r="AF10" t="b">
        <v>0</v>
      </c>
      <c r="AG10">
        <v>11</v>
      </c>
      <c r="AH10">
        <v>12</v>
      </c>
      <c r="AI10">
        <v>-45.5</v>
      </c>
      <c r="AJ10">
        <v>-45</v>
      </c>
    </row>
    <row r="11" spans="1:36" x14ac:dyDescent="0.25">
      <c r="A11">
        <v>10</v>
      </c>
      <c r="B11" t="s">
        <v>36</v>
      </c>
      <c r="C11" t="s">
        <v>37</v>
      </c>
      <c r="D11">
        <v>1.000089495995236</v>
      </c>
      <c r="E11">
        <v>1.2</v>
      </c>
      <c r="F11">
        <v>0.05</v>
      </c>
      <c r="G11">
        <v>7850</v>
      </c>
      <c r="H11">
        <v>0.18064157758141311</v>
      </c>
      <c r="I11">
        <v>1418.163292591561</v>
      </c>
      <c r="J11" t="s">
        <v>38</v>
      </c>
      <c r="K11" t="s">
        <v>39</v>
      </c>
      <c r="L11" t="s">
        <v>38</v>
      </c>
      <c r="M11" t="s">
        <v>39</v>
      </c>
      <c r="N11">
        <v>0</v>
      </c>
      <c r="O11">
        <v>38.420000000000407</v>
      </c>
      <c r="P11" t="b">
        <v>1</v>
      </c>
      <c r="Q11">
        <v>0</v>
      </c>
      <c r="R11" t="b">
        <v>1</v>
      </c>
      <c r="S11">
        <v>4.6129999999999999E-3</v>
      </c>
      <c r="T11" t="b">
        <v>1</v>
      </c>
      <c r="U11" t="b">
        <v>1</v>
      </c>
      <c r="V11">
        <v>40680511.635966472</v>
      </c>
      <c r="W11">
        <v>35485717.018957444</v>
      </c>
      <c r="AE11" t="b">
        <v>0</v>
      </c>
      <c r="AF11" t="b">
        <v>0</v>
      </c>
      <c r="AG11">
        <v>12</v>
      </c>
      <c r="AH11">
        <v>13</v>
      </c>
      <c r="AI11">
        <v>-45</v>
      </c>
      <c r="AJ11">
        <v>-44.000999999999998</v>
      </c>
    </row>
    <row r="12" spans="1:36" x14ac:dyDescent="0.25">
      <c r="A12">
        <v>11</v>
      </c>
      <c r="B12" t="s">
        <v>36</v>
      </c>
      <c r="C12" t="s">
        <v>37</v>
      </c>
      <c r="D12">
        <v>0.87489656531500426</v>
      </c>
      <c r="E12">
        <v>1.2</v>
      </c>
      <c r="F12">
        <v>0.05</v>
      </c>
      <c r="G12">
        <v>7850</v>
      </c>
      <c r="H12">
        <v>0.18064157758141311</v>
      </c>
      <c r="I12">
        <v>1240.6351618656381</v>
      </c>
      <c r="J12" t="s">
        <v>38</v>
      </c>
      <c r="K12" t="s">
        <v>39</v>
      </c>
      <c r="L12" t="s">
        <v>38</v>
      </c>
      <c r="M12" t="s">
        <v>39</v>
      </c>
      <c r="N12">
        <v>0</v>
      </c>
      <c r="O12">
        <v>38.420000000000407</v>
      </c>
      <c r="P12" t="b">
        <v>1</v>
      </c>
      <c r="Q12">
        <v>0</v>
      </c>
      <c r="R12" t="b">
        <v>1</v>
      </c>
      <c r="S12">
        <v>2.2569999999999999E-3</v>
      </c>
      <c r="T12" t="b">
        <v>1</v>
      </c>
      <c r="U12" t="b">
        <v>1</v>
      </c>
      <c r="V12">
        <v>40822254.773742951</v>
      </c>
      <c r="W12">
        <v>35485717.018957444</v>
      </c>
      <c r="AE12" t="b">
        <v>0</v>
      </c>
      <c r="AF12" t="b">
        <v>0</v>
      </c>
      <c r="AG12">
        <v>13</v>
      </c>
      <c r="AH12">
        <v>14</v>
      </c>
      <c r="AI12">
        <v>-44.000999999999998</v>
      </c>
      <c r="AJ12">
        <v>-43.127000000000002</v>
      </c>
    </row>
    <row r="13" spans="1:36" x14ac:dyDescent="0.25">
      <c r="A13">
        <v>12</v>
      </c>
      <c r="B13" t="s">
        <v>36</v>
      </c>
      <c r="C13" t="s">
        <v>37</v>
      </c>
      <c r="D13">
        <v>18.53282603922025</v>
      </c>
      <c r="E13">
        <v>1.2</v>
      </c>
      <c r="F13">
        <v>0.05</v>
      </c>
      <c r="G13">
        <v>7850</v>
      </c>
      <c r="H13">
        <v>0.18064157758141311</v>
      </c>
      <c r="I13">
        <v>26280.221622218101</v>
      </c>
      <c r="J13" t="s">
        <v>38</v>
      </c>
      <c r="K13" t="s">
        <v>39</v>
      </c>
      <c r="L13" t="s">
        <v>38</v>
      </c>
      <c r="M13" t="s">
        <v>39</v>
      </c>
      <c r="N13">
        <v>0</v>
      </c>
      <c r="O13">
        <v>35.099999999999888</v>
      </c>
      <c r="P13" t="b">
        <v>1</v>
      </c>
      <c r="Q13">
        <v>0</v>
      </c>
      <c r="R13" t="b">
        <v>1</v>
      </c>
      <c r="S13">
        <v>4.8099999999999998E-4</v>
      </c>
      <c r="T13" t="b">
        <v>1</v>
      </c>
      <c r="U13" t="b">
        <v>1</v>
      </c>
      <c r="V13">
        <v>25286370.939080819</v>
      </c>
      <c r="W13">
        <v>35485717.018957444</v>
      </c>
      <c r="AE13" t="b">
        <v>0</v>
      </c>
      <c r="AF13" t="b">
        <v>0</v>
      </c>
      <c r="AG13">
        <v>14</v>
      </c>
      <c r="AH13">
        <v>15</v>
      </c>
      <c r="AI13">
        <v>-43.127000000000002</v>
      </c>
      <c r="AJ13">
        <v>-24.614000000000001</v>
      </c>
    </row>
    <row r="14" spans="1:36" x14ac:dyDescent="0.25">
      <c r="A14">
        <v>13</v>
      </c>
      <c r="B14" t="s">
        <v>36</v>
      </c>
      <c r="C14" t="s">
        <v>37</v>
      </c>
      <c r="D14">
        <v>0.5</v>
      </c>
      <c r="E14">
        <v>1.2</v>
      </c>
      <c r="F14">
        <v>0.05</v>
      </c>
      <c r="G14">
        <v>7850</v>
      </c>
      <c r="H14">
        <v>0.18064157758141311</v>
      </c>
      <c r="I14">
        <v>709.01819200704631</v>
      </c>
      <c r="J14" t="s">
        <v>38</v>
      </c>
      <c r="K14" t="s">
        <v>39</v>
      </c>
      <c r="L14" t="s">
        <v>38</v>
      </c>
      <c r="M14" t="s">
        <v>39</v>
      </c>
      <c r="N14">
        <v>0</v>
      </c>
      <c r="O14">
        <v>33.199999999999591</v>
      </c>
      <c r="P14" t="b">
        <v>1</v>
      </c>
      <c r="Q14">
        <v>0</v>
      </c>
      <c r="R14" t="b">
        <v>1</v>
      </c>
      <c r="S14">
        <v>1.0671E-2</v>
      </c>
      <c r="T14" t="b">
        <v>1</v>
      </c>
      <c r="U14" t="b">
        <v>1</v>
      </c>
      <c r="V14">
        <v>41253638.385946907</v>
      </c>
      <c r="W14">
        <v>35485717.018957444</v>
      </c>
      <c r="AE14" t="b">
        <v>0</v>
      </c>
      <c r="AF14" t="b">
        <v>0</v>
      </c>
      <c r="AG14">
        <v>16</v>
      </c>
      <c r="AH14">
        <v>17</v>
      </c>
      <c r="AI14">
        <v>-45.5</v>
      </c>
      <c r="AJ14">
        <v>-45</v>
      </c>
    </row>
    <row r="15" spans="1:36" x14ac:dyDescent="0.25">
      <c r="A15">
        <v>14</v>
      </c>
      <c r="B15" t="s">
        <v>36</v>
      </c>
      <c r="C15" t="s">
        <v>37</v>
      </c>
      <c r="D15">
        <v>1.000089495995236</v>
      </c>
      <c r="E15">
        <v>1.2</v>
      </c>
      <c r="F15">
        <v>0.05</v>
      </c>
      <c r="G15">
        <v>7850</v>
      </c>
      <c r="H15">
        <v>0.18064157758141311</v>
      </c>
      <c r="I15">
        <v>1418.163292591561</v>
      </c>
      <c r="J15" t="s">
        <v>38</v>
      </c>
      <c r="K15" t="s">
        <v>39</v>
      </c>
      <c r="L15" t="s">
        <v>38</v>
      </c>
      <c r="M15" t="s">
        <v>39</v>
      </c>
      <c r="N15">
        <v>0</v>
      </c>
      <c r="O15">
        <v>33.039999999999573</v>
      </c>
      <c r="P15" t="b">
        <v>1</v>
      </c>
      <c r="Q15">
        <v>0</v>
      </c>
      <c r="R15" t="b">
        <v>1</v>
      </c>
      <c r="S15">
        <v>5.7829999999999999E-3</v>
      </c>
      <c r="T15" t="b">
        <v>1</v>
      </c>
      <c r="U15" t="b">
        <v>1</v>
      </c>
      <c r="V15">
        <v>40680511.635966472</v>
      </c>
      <c r="W15">
        <v>35485717.018957444</v>
      </c>
      <c r="AE15" t="b">
        <v>0</v>
      </c>
      <c r="AF15" t="b">
        <v>0</v>
      </c>
      <c r="AG15">
        <v>17</v>
      </c>
      <c r="AH15">
        <v>18</v>
      </c>
      <c r="AI15">
        <v>-45</v>
      </c>
      <c r="AJ15">
        <v>-44.000999999999998</v>
      </c>
    </row>
    <row r="16" spans="1:36" x14ac:dyDescent="0.25">
      <c r="A16">
        <v>15</v>
      </c>
      <c r="B16" t="s">
        <v>36</v>
      </c>
      <c r="C16" t="s">
        <v>37</v>
      </c>
      <c r="D16">
        <v>0.87489656531500426</v>
      </c>
      <c r="E16">
        <v>1.2</v>
      </c>
      <c r="F16">
        <v>0.05</v>
      </c>
      <c r="G16">
        <v>7850</v>
      </c>
      <c r="H16">
        <v>0.18064157758141311</v>
      </c>
      <c r="I16">
        <v>1240.6351618656381</v>
      </c>
      <c r="J16" t="s">
        <v>38</v>
      </c>
      <c r="K16" t="s">
        <v>39</v>
      </c>
      <c r="L16" t="s">
        <v>38</v>
      </c>
      <c r="M16" t="s">
        <v>39</v>
      </c>
      <c r="N16">
        <v>0</v>
      </c>
      <c r="O16">
        <v>33.059999999999569</v>
      </c>
      <c r="P16" t="b">
        <v>1</v>
      </c>
      <c r="Q16">
        <v>0</v>
      </c>
      <c r="R16" t="b">
        <v>1</v>
      </c>
      <c r="S16">
        <v>3.052E-3</v>
      </c>
      <c r="T16" t="b">
        <v>1</v>
      </c>
      <c r="U16" t="b">
        <v>1</v>
      </c>
      <c r="V16">
        <v>40822254.773742951</v>
      </c>
      <c r="W16">
        <v>35485717.018957444</v>
      </c>
      <c r="AE16" t="b">
        <v>0</v>
      </c>
      <c r="AF16" t="b">
        <v>0</v>
      </c>
      <c r="AG16">
        <v>18</v>
      </c>
      <c r="AH16">
        <v>19</v>
      </c>
      <c r="AI16">
        <v>-44.000999999999998</v>
      </c>
      <c r="AJ16">
        <v>-43.127000000000002</v>
      </c>
    </row>
    <row r="17" spans="1:36" x14ac:dyDescent="0.25">
      <c r="A17">
        <v>16</v>
      </c>
      <c r="B17" t="s">
        <v>36</v>
      </c>
      <c r="C17" t="s">
        <v>37</v>
      </c>
      <c r="D17">
        <v>18.53282603922025</v>
      </c>
      <c r="E17">
        <v>1.2</v>
      </c>
      <c r="F17">
        <v>0.05</v>
      </c>
      <c r="G17">
        <v>7850</v>
      </c>
      <c r="H17">
        <v>0.18064157758141311</v>
      </c>
      <c r="I17">
        <v>26280.221622218101</v>
      </c>
      <c r="J17" t="s">
        <v>38</v>
      </c>
      <c r="K17" t="s">
        <v>39</v>
      </c>
      <c r="L17" t="s">
        <v>38</v>
      </c>
      <c r="M17" t="s">
        <v>39</v>
      </c>
      <c r="N17">
        <v>0</v>
      </c>
      <c r="O17">
        <v>26.299999999999532</v>
      </c>
      <c r="P17" t="b">
        <v>1</v>
      </c>
      <c r="Q17">
        <v>0</v>
      </c>
      <c r="R17" t="b">
        <v>1</v>
      </c>
      <c r="S17">
        <v>6.4300000000000002E-4</v>
      </c>
      <c r="T17" t="b">
        <v>1</v>
      </c>
      <c r="U17" t="b">
        <v>1</v>
      </c>
      <c r="V17">
        <v>25286370.939080819</v>
      </c>
      <c r="W17">
        <v>35485717.018957444</v>
      </c>
      <c r="AE17" t="b">
        <v>0</v>
      </c>
      <c r="AF17" t="b">
        <v>0</v>
      </c>
      <c r="AG17">
        <v>19</v>
      </c>
      <c r="AH17">
        <v>20</v>
      </c>
      <c r="AI17">
        <v>-43.127000000000002</v>
      </c>
      <c r="AJ17">
        <v>-24.614000000000001</v>
      </c>
    </row>
    <row r="18" spans="1:36" x14ac:dyDescent="0.25">
      <c r="A18">
        <v>17</v>
      </c>
      <c r="B18" t="s">
        <v>36</v>
      </c>
      <c r="C18" t="s">
        <v>37</v>
      </c>
      <c r="D18">
        <v>15.70876194994373</v>
      </c>
      <c r="E18">
        <v>1.2</v>
      </c>
      <c r="F18">
        <v>3.5000000000000003E-2</v>
      </c>
      <c r="G18">
        <v>7850</v>
      </c>
      <c r="H18">
        <v>0.12809844045012381</v>
      </c>
      <c r="I18">
        <v>15796.3030714418</v>
      </c>
      <c r="J18" t="s">
        <v>38</v>
      </c>
      <c r="K18" t="s">
        <v>39</v>
      </c>
      <c r="L18" t="s">
        <v>38</v>
      </c>
      <c r="M18" t="s">
        <v>39</v>
      </c>
      <c r="N18">
        <v>0</v>
      </c>
      <c r="O18">
        <v>15.679999999999749</v>
      </c>
      <c r="P18" t="b">
        <v>1</v>
      </c>
      <c r="Q18">
        <v>0</v>
      </c>
      <c r="R18" t="b">
        <v>1</v>
      </c>
      <c r="S18">
        <v>1.1100000000000001E-3</v>
      </c>
      <c r="T18" t="b">
        <v>1</v>
      </c>
      <c r="U18" t="b">
        <v>1</v>
      </c>
      <c r="V18">
        <v>16066618.13502383</v>
      </c>
      <c r="W18">
        <v>20598730.387608469</v>
      </c>
      <c r="AE18" t="b">
        <v>0</v>
      </c>
      <c r="AF18" t="b">
        <v>0</v>
      </c>
      <c r="AG18">
        <v>5</v>
      </c>
      <c r="AH18">
        <v>21</v>
      </c>
      <c r="AI18">
        <v>-24.614000000000001</v>
      </c>
      <c r="AJ18">
        <v>-8.9220000000000006</v>
      </c>
    </row>
    <row r="19" spans="1:36" x14ac:dyDescent="0.25">
      <c r="A19">
        <v>18</v>
      </c>
      <c r="B19" t="s">
        <v>40</v>
      </c>
      <c r="C19" t="s">
        <v>37</v>
      </c>
      <c r="D19">
        <v>13.314219841958449</v>
      </c>
      <c r="E19">
        <v>1.2</v>
      </c>
      <c r="F19">
        <v>3.5000000000000003E-2</v>
      </c>
      <c r="G19">
        <v>7850</v>
      </c>
      <c r="H19">
        <v>0.12809844045012381</v>
      </c>
      <c r="I19">
        <v>13388.416760885029</v>
      </c>
      <c r="J19" t="s">
        <v>41</v>
      </c>
      <c r="K19" t="s">
        <v>42</v>
      </c>
      <c r="L19" t="s">
        <v>41</v>
      </c>
      <c r="M19" t="s">
        <v>42</v>
      </c>
      <c r="N19">
        <v>15</v>
      </c>
      <c r="O19">
        <v>17.45999999999972</v>
      </c>
      <c r="P19" t="b">
        <v>1</v>
      </c>
      <c r="Q19">
        <v>0.42857142857142849</v>
      </c>
      <c r="R19" t="b">
        <v>0</v>
      </c>
      <c r="S19">
        <v>9.2133000000000007E-2</v>
      </c>
      <c r="T19" t="b">
        <v>0</v>
      </c>
      <c r="U19" t="b">
        <v>0</v>
      </c>
      <c r="V19">
        <v>17177240.737587489</v>
      </c>
      <c r="W19">
        <v>20598730.387608469</v>
      </c>
      <c r="X19">
        <v>9.2133000000000007E-2</v>
      </c>
      <c r="Y19" t="b">
        <v>1</v>
      </c>
      <c r="Z19">
        <v>15</v>
      </c>
      <c r="AA19">
        <v>17.45999999999972</v>
      </c>
      <c r="AB19" t="b">
        <v>1</v>
      </c>
      <c r="AC19" t="b">
        <v>1</v>
      </c>
      <c r="AE19" t="b">
        <v>0</v>
      </c>
      <c r="AF19" t="b">
        <v>0</v>
      </c>
      <c r="AG19">
        <v>21</v>
      </c>
      <c r="AH19">
        <v>22</v>
      </c>
      <c r="AI19">
        <v>-8.9220000000000006</v>
      </c>
      <c r="AJ19">
        <v>4.3780000000000001</v>
      </c>
    </row>
    <row r="20" spans="1:36" x14ac:dyDescent="0.25">
      <c r="A20">
        <v>19</v>
      </c>
      <c r="B20" t="s">
        <v>40</v>
      </c>
      <c r="C20" t="s">
        <v>37</v>
      </c>
      <c r="D20">
        <v>11.28507204230438</v>
      </c>
      <c r="E20">
        <v>1.2</v>
      </c>
      <c r="F20">
        <v>3.5000000000000003E-2</v>
      </c>
      <c r="G20">
        <v>7850</v>
      </c>
      <c r="H20">
        <v>0.12809844045012381</v>
      </c>
      <c r="I20">
        <v>11347.96101254391</v>
      </c>
      <c r="J20" t="s">
        <v>41</v>
      </c>
      <c r="K20" t="s">
        <v>42</v>
      </c>
      <c r="L20" t="s">
        <v>41</v>
      </c>
      <c r="M20" t="s">
        <v>42</v>
      </c>
      <c r="N20">
        <v>15</v>
      </c>
      <c r="O20">
        <v>19.63999999999967</v>
      </c>
      <c r="P20" t="b">
        <v>1</v>
      </c>
      <c r="Q20">
        <v>0.42857142857142849</v>
      </c>
      <c r="R20" t="b">
        <v>0</v>
      </c>
      <c r="S20">
        <v>6.2413999999999997E-2</v>
      </c>
      <c r="T20" t="b">
        <v>0</v>
      </c>
      <c r="U20" t="b">
        <v>0</v>
      </c>
      <c r="V20">
        <v>18135098.964425988</v>
      </c>
      <c r="W20">
        <v>20598730.387608469</v>
      </c>
      <c r="X20">
        <v>6.2413999999999997E-2</v>
      </c>
      <c r="Y20" t="b">
        <v>1</v>
      </c>
      <c r="Z20">
        <v>15</v>
      </c>
      <c r="AA20">
        <v>19.63999999999967</v>
      </c>
      <c r="AB20" t="b">
        <v>1</v>
      </c>
      <c r="AC20" t="b">
        <v>1</v>
      </c>
      <c r="AE20" t="b">
        <v>0</v>
      </c>
      <c r="AF20" t="b">
        <v>0</v>
      </c>
      <c r="AG20">
        <v>22</v>
      </c>
      <c r="AH20">
        <v>23</v>
      </c>
      <c r="AI20">
        <v>4.3780000000000001</v>
      </c>
      <c r="AJ20">
        <v>15.651</v>
      </c>
    </row>
    <row r="21" spans="1:36" x14ac:dyDescent="0.25">
      <c r="A21">
        <v>20</v>
      </c>
      <c r="B21" t="s">
        <v>43</v>
      </c>
      <c r="C21" t="s">
        <v>37</v>
      </c>
      <c r="D21">
        <v>0.49951276259971461</v>
      </c>
      <c r="E21">
        <v>1.2</v>
      </c>
      <c r="F21">
        <v>3.5000000000000003E-2</v>
      </c>
      <c r="G21">
        <v>7850</v>
      </c>
      <c r="H21">
        <v>0.12809844045012381</v>
      </c>
      <c r="I21">
        <v>502.29642611055749</v>
      </c>
      <c r="J21" t="s">
        <v>38</v>
      </c>
      <c r="K21" t="s">
        <v>39</v>
      </c>
      <c r="L21" t="s">
        <v>38</v>
      </c>
      <c r="M21" t="s">
        <v>39</v>
      </c>
      <c r="N21">
        <v>0</v>
      </c>
      <c r="O21">
        <v>21.81999999999962</v>
      </c>
      <c r="P21" t="b">
        <v>1</v>
      </c>
      <c r="Q21">
        <v>0</v>
      </c>
      <c r="R21" t="b">
        <v>1</v>
      </c>
      <c r="S21">
        <v>5.4500000000000002E-4</v>
      </c>
      <c r="T21" t="b">
        <v>1</v>
      </c>
      <c r="U21" t="b">
        <v>1</v>
      </c>
      <c r="V21">
        <v>23951465.135911629</v>
      </c>
      <c r="W21">
        <v>20598730.387608469</v>
      </c>
      <c r="AE21" t="b">
        <v>0</v>
      </c>
      <c r="AF21" t="b">
        <v>0</v>
      </c>
      <c r="AG21">
        <v>23</v>
      </c>
      <c r="AH21">
        <v>24</v>
      </c>
      <c r="AI21">
        <v>15.651</v>
      </c>
      <c r="AJ21">
        <v>16.149999999999999</v>
      </c>
    </row>
    <row r="22" spans="1:36" x14ac:dyDescent="0.25">
      <c r="A22">
        <v>21</v>
      </c>
      <c r="B22" t="s">
        <v>36</v>
      </c>
      <c r="C22" t="s">
        <v>37</v>
      </c>
      <c r="D22">
        <v>15.70876194994373</v>
      </c>
      <c r="E22">
        <v>1.2</v>
      </c>
      <c r="F22">
        <v>3.5000000000000003E-2</v>
      </c>
      <c r="G22">
        <v>7850</v>
      </c>
      <c r="H22">
        <v>0.12809844045012381</v>
      </c>
      <c r="I22">
        <v>15796.3030714418</v>
      </c>
      <c r="J22" t="s">
        <v>38</v>
      </c>
      <c r="K22" t="s">
        <v>39</v>
      </c>
      <c r="L22" t="s">
        <v>38</v>
      </c>
      <c r="M22" t="s">
        <v>39</v>
      </c>
      <c r="N22">
        <v>0</v>
      </c>
      <c r="O22">
        <v>22.499999999999609</v>
      </c>
      <c r="P22" t="b">
        <v>1</v>
      </c>
      <c r="Q22">
        <v>0</v>
      </c>
      <c r="R22" t="b">
        <v>1</v>
      </c>
      <c r="S22">
        <v>1.4959999999999999E-3</v>
      </c>
      <c r="T22" t="b">
        <v>1</v>
      </c>
      <c r="U22" t="b">
        <v>1</v>
      </c>
      <c r="V22">
        <v>16066618.13502383</v>
      </c>
      <c r="W22">
        <v>20598730.387608469</v>
      </c>
      <c r="AE22" t="b">
        <v>0</v>
      </c>
      <c r="AF22" t="b">
        <v>0</v>
      </c>
      <c r="AG22">
        <v>10</v>
      </c>
      <c r="AH22">
        <v>25</v>
      </c>
      <c r="AI22">
        <v>-24.614000000000001</v>
      </c>
      <c r="AJ22">
        <v>-8.9220000000000006</v>
      </c>
    </row>
    <row r="23" spans="1:36" x14ac:dyDescent="0.25">
      <c r="A23">
        <v>22</v>
      </c>
      <c r="B23" t="s">
        <v>40</v>
      </c>
      <c r="C23" t="s">
        <v>37</v>
      </c>
      <c r="D23">
        <v>13.314219841958449</v>
      </c>
      <c r="E23">
        <v>1.2</v>
      </c>
      <c r="F23">
        <v>3.5000000000000003E-2</v>
      </c>
      <c r="G23">
        <v>7850</v>
      </c>
      <c r="H23">
        <v>0.12809844045012381</v>
      </c>
      <c r="I23">
        <v>13388.416760885029</v>
      </c>
      <c r="J23" t="s">
        <v>41</v>
      </c>
      <c r="K23" t="s">
        <v>42</v>
      </c>
      <c r="L23" t="s">
        <v>41</v>
      </c>
      <c r="M23" t="s">
        <v>42</v>
      </c>
      <c r="N23">
        <v>15</v>
      </c>
      <c r="O23">
        <v>23.779999999999589</v>
      </c>
      <c r="P23" t="b">
        <v>1</v>
      </c>
      <c r="Q23">
        <v>0.42857142857142849</v>
      </c>
      <c r="R23" t="b">
        <v>0</v>
      </c>
      <c r="S23">
        <v>0.11439199999999999</v>
      </c>
      <c r="T23" t="b">
        <v>0</v>
      </c>
      <c r="U23" t="b">
        <v>0</v>
      </c>
      <c r="V23">
        <v>17177240.737587489</v>
      </c>
      <c r="W23">
        <v>20598730.387608469</v>
      </c>
      <c r="X23">
        <v>0.11439199999999999</v>
      </c>
      <c r="Y23" t="b">
        <v>1</v>
      </c>
      <c r="Z23">
        <v>15</v>
      </c>
      <c r="AA23">
        <v>23.779999999999589</v>
      </c>
      <c r="AB23" t="b">
        <v>1</v>
      </c>
      <c r="AC23" t="b">
        <v>1</v>
      </c>
      <c r="AE23" t="b">
        <v>0</v>
      </c>
      <c r="AF23" t="b">
        <v>0</v>
      </c>
      <c r="AG23">
        <v>25</v>
      </c>
      <c r="AH23">
        <v>26</v>
      </c>
      <c r="AI23">
        <v>-8.9220000000000006</v>
      </c>
      <c r="AJ23">
        <v>4.3780000000000001</v>
      </c>
    </row>
    <row r="24" spans="1:36" x14ac:dyDescent="0.25">
      <c r="A24">
        <v>23</v>
      </c>
      <c r="B24" t="s">
        <v>40</v>
      </c>
      <c r="C24" t="s">
        <v>37</v>
      </c>
      <c r="D24">
        <v>11.28507204230438</v>
      </c>
      <c r="E24">
        <v>1.2</v>
      </c>
      <c r="F24">
        <v>3.5000000000000003E-2</v>
      </c>
      <c r="G24">
        <v>7850</v>
      </c>
      <c r="H24">
        <v>0.12809844045012381</v>
      </c>
      <c r="I24">
        <v>11347.96101254391</v>
      </c>
      <c r="J24" t="s">
        <v>41</v>
      </c>
      <c r="K24" t="s">
        <v>42</v>
      </c>
      <c r="L24" t="s">
        <v>41</v>
      </c>
      <c r="M24" t="s">
        <v>42</v>
      </c>
      <c r="N24">
        <v>15</v>
      </c>
      <c r="O24">
        <v>25.27999999999955</v>
      </c>
      <c r="P24" t="b">
        <v>1</v>
      </c>
      <c r="Q24">
        <v>0.42857142857142849</v>
      </c>
      <c r="R24" t="b">
        <v>0</v>
      </c>
      <c r="S24">
        <v>7.5539999999999996E-2</v>
      </c>
      <c r="T24" t="b">
        <v>0</v>
      </c>
      <c r="U24" t="b">
        <v>0</v>
      </c>
      <c r="V24">
        <v>18135098.964425988</v>
      </c>
      <c r="W24">
        <v>20598730.387608469</v>
      </c>
      <c r="X24">
        <v>7.5539999999999996E-2</v>
      </c>
      <c r="Y24" t="b">
        <v>1</v>
      </c>
      <c r="Z24">
        <v>15</v>
      </c>
      <c r="AA24">
        <v>25.27999999999955</v>
      </c>
      <c r="AB24" t="b">
        <v>1</v>
      </c>
      <c r="AC24" t="b">
        <v>1</v>
      </c>
      <c r="AE24" t="b">
        <v>0</v>
      </c>
      <c r="AF24" t="b">
        <v>0</v>
      </c>
      <c r="AG24">
        <v>26</v>
      </c>
      <c r="AH24">
        <v>27</v>
      </c>
      <c r="AI24">
        <v>4.3780000000000001</v>
      </c>
      <c r="AJ24">
        <v>15.651</v>
      </c>
    </row>
    <row r="25" spans="1:36" x14ac:dyDescent="0.25">
      <c r="A25">
        <v>24</v>
      </c>
      <c r="B25" t="s">
        <v>43</v>
      </c>
      <c r="C25" t="s">
        <v>37</v>
      </c>
      <c r="D25">
        <v>0.49951276259971461</v>
      </c>
      <c r="E25">
        <v>1.2</v>
      </c>
      <c r="F25">
        <v>3.5000000000000003E-2</v>
      </c>
      <c r="G25">
        <v>7850</v>
      </c>
      <c r="H25">
        <v>0.12809844045012381</v>
      </c>
      <c r="I25">
        <v>502.29642611055749</v>
      </c>
      <c r="J25" t="s">
        <v>38</v>
      </c>
      <c r="K25" t="s">
        <v>39</v>
      </c>
      <c r="L25" t="s">
        <v>38</v>
      </c>
      <c r="M25" t="s">
        <v>39</v>
      </c>
      <c r="N25">
        <v>0</v>
      </c>
      <c r="O25">
        <v>26.639999999999521</v>
      </c>
      <c r="P25" t="b">
        <v>1</v>
      </c>
      <c r="Q25">
        <v>0</v>
      </c>
      <c r="R25" t="b">
        <v>1</v>
      </c>
      <c r="S25">
        <v>6.5300000000000004E-4</v>
      </c>
      <c r="T25" t="b">
        <v>1</v>
      </c>
      <c r="U25" t="b">
        <v>1</v>
      </c>
      <c r="V25">
        <v>23951465.135911629</v>
      </c>
      <c r="W25">
        <v>20598730.387608469</v>
      </c>
      <c r="AE25" t="b">
        <v>0</v>
      </c>
      <c r="AF25" t="b">
        <v>0</v>
      </c>
      <c r="AG25">
        <v>27</v>
      </c>
      <c r="AH25">
        <v>28</v>
      </c>
      <c r="AI25">
        <v>15.651</v>
      </c>
      <c r="AJ25">
        <v>16.149999999999999</v>
      </c>
    </row>
    <row r="26" spans="1:36" x14ac:dyDescent="0.25">
      <c r="A26">
        <v>25</v>
      </c>
      <c r="B26" t="s">
        <v>36</v>
      </c>
      <c r="C26" t="s">
        <v>37</v>
      </c>
      <c r="D26">
        <v>15.70876194994373</v>
      </c>
      <c r="E26">
        <v>1.2</v>
      </c>
      <c r="F26">
        <v>3.5000000000000003E-2</v>
      </c>
      <c r="G26">
        <v>7850</v>
      </c>
      <c r="H26">
        <v>0.12809844045012381</v>
      </c>
      <c r="I26">
        <v>15796.3030714418</v>
      </c>
      <c r="J26" t="s">
        <v>38</v>
      </c>
      <c r="K26" t="s">
        <v>39</v>
      </c>
      <c r="L26" t="s">
        <v>38</v>
      </c>
      <c r="M26" t="s">
        <v>39</v>
      </c>
      <c r="N26">
        <v>0</v>
      </c>
      <c r="O26">
        <v>22.63999999999961</v>
      </c>
      <c r="P26" t="b">
        <v>1</v>
      </c>
      <c r="Q26">
        <v>0</v>
      </c>
      <c r="R26" t="b">
        <v>1</v>
      </c>
      <c r="S26">
        <v>1.091E-3</v>
      </c>
      <c r="T26" t="b">
        <v>1</v>
      </c>
      <c r="U26" t="b">
        <v>1</v>
      </c>
      <c r="V26">
        <v>16066618.13502383</v>
      </c>
      <c r="W26">
        <v>20598730.387608469</v>
      </c>
      <c r="AE26" t="b">
        <v>0</v>
      </c>
      <c r="AF26" t="b">
        <v>0</v>
      </c>
      <c r="AG26">
        <v>15</v>
      </c>
      <c r="AH26">
        <v>29</v>
      </c>
      <c r="AI26">
        <v>-24.614000000000001</v>
      </c>
      <c r="AJ26">
        <v>-8.9220000000000006</v>
      </c>
    </row>
    <row r="27" spans="1:36" x14ac:dyDescent="0.25">
      <c r="A27">
        <v>26</v>
      </c>
      <c r="B27" t="s">
        <v>40</v>
      </c>
      <c r="C27" t="s">
        <v>37</v>
      </c>
      <c r="D27">
        <v>13.314219841958449</v>
      </c>
      <c r="E27">
        <v>1.2</v>
      </c>
      <c r="F27">
        <v>3.5000000000000003E-2</v>
      </c>
      <c r="G27">
        <v>7850</v>
      </c>
      <c r="H27">
        <v>0.12809844045012381</v>
      </c>
      <c r="I27">
        <v>13388.416760885029</v>
      </c>
      <c r="J27" t="s">
        <v>41</v>
      </c>
      <c r="K27" t="s">
        <v>42</v>
      </c>
      <c r="L27" t="s">
        <v>41</v>
      </c>
      <c r="M27" t="s">
        <v>42</v>
      </c>
      <c r="N27">
        <v>15</v>
      </c>
      <c r="O27">
        <v>23.839999999999581</v>
      </c>
      <c r="P27" t="b">
        <v>1</v>
      </c>
      <c r="Q27">
        <v>0.42857142857142849</v>
      </c>
      <c r="R27" t="b">
        <v>0</v>
      </c>
      <c r="S27">
        <v>9.1400999999999996E-2</v>
      </c>
      <c r="T27" t="b">
        <v>0</v>
      </c>
      <c r="U27" t="b">
        <v>0</v>
      </c>
      <c r="V27">
        <v>17177240.737587489</v>
      </c>
      <c r="W27">
        <v>20598730.387608469</v>
      </c>
      <c r="X27">
        <v>9.1400999999999996E-2</v>
      </c>
      <c r="Y27" t="b">
        <v>1</v>
      </c>
      <c r="Z27">
        <v>15</v>
      </c>
      <c r="AA27">
        <v>23.839999999999581</v>
      </c>
      <c r="AB27" t="b">
        <v>1</v>
      </c>
      <c r="AC27" t="b">
        <v>1</v>
      </c>
      <c r="AE27" t="b">
        <v>0</v>
      </c>
      <c r="AF27" t="b">
        <v>0</v>
      </c>
      <c r="AG27">
        <v>29</v>
      </c>
      <c r="AH27">
        <v>30</v>
      </c>
      <c r="AI27">
        <v>-8.9220000000000006</v>
      </c>
      <c r="AJ27">
        <v>4.3780000000000001</v>
      </c>
    </row>
    <row r="28" spans="1:36" x14ac:dyDescent="0.25">
      <c r="A28">
        <v>27</v>
      </c>
      <c r="B28" t="s">
        <v>40</v>
      </c>
      <c r="C28" t="s">
        <v>37</v>
      </c>
      <c r="D28">
        <v>11.28507204230438</v>
      </c>
      <c r="E28">
        <v>1.2</v>
      </c>
      <c r="F28">
        <v>3.5000000000000003E-2</v>
      </c>
      <c r="G28">
        <v>7850</v>
      </c>
      <c r="H28">
        <v>0.12809844045012381</v>
      </c>
      <c r="I28">
        <v>11347.96101254391</v>
      </c>
      <c r="J28" t="s">
        <v>41</v>
      </c>
      <c r="K28" t="s">
        <v>42</v>
      </c>
      <c r="L28" t="s">
        <v>41</v>
      </c>
      <c r="M28" t="s">
        <v>42</v>
      </c>
      <c r="N28">
        <v>15</v>
      </c>
      <c r="O28">
        <v>25.339999999999549</v>
      </c>
      <c r="P28" t="b">
        <v>1</v>
      </c>
      <c r="Q28">
        <v>0.42857142857142849</v>
      </c>
      <c r="R28" t="b">
        <v>0</v>
      </c>
      <c r="S28">
        <v>6.1293E-2</v>
      </c>
      <c r="T28" t="b">
        <v>0</v>
      </c>
      <c r="U28" t="b">
        <v>0</v>
      </c>
      <c r="V28">
        <v>18135098.964425988</v>
      </c>
      <c r="W28">
        <v>20598730.387608469</v>
      </c>
      <c r="X28">
        <v>6.1293E-2</v>
      </c>
      <c r="Y28" t="b">
        <v>1</v>
      </c>
      <c r="Z28">
        <v>15</v>
      </c>
      <c r="AA28">
        <v>25.339999999999549</v>
      </c>
      <c r="AB28" t="b">
        <v>1</v>
      </c>
      <c r="AC28" t="b">
        <v>1</v>
      </c>
      <c r="AE28" t="b">
        <v>0</v>
      </c>
      <c r="AF28" t="b">
        <v>0</v>
      </c>
      <c r="AG28">
        <v>30</v>
      </c>
      <c r="AH28">
        <v>31</v>
      </c>
      <c r="AI28">
        <v>4.3780000000000001</v>
      </c>
      <c r="AJ28">
        <v>15.651</v>
      </c>
    </row>
    <row r="29" spans="1:36" x14ac:dyDescent="0.25">
      <c r="A29">
        <v>28</v>
      </c>
      <c r="B29" t="s">
        <v>43</v>
      </c>
      <c r="C29" t="s">
        <v>37</v>
      </c>
      <c r="D29">
        <v>0.49951276259971461</v>
      </c>
      <c r="E29">
        <v>1.2</v>
      </c>
      <c r="F29">
        <v>3.5000000000000003E-2</v>
      </c>
      <c r="G29">
        <v>7850</v>
      </c>
      <c r="H29">
        <v>0.12809844045012381</v>
      </c>
      <c r="I29">
        <v>502.29642611055749</v>
      </c>
      <c r="J29" t="s">
        <v>38</v>
      </c>
      <c r="K29" t="s">
        <v>39</v>
      </c>
      <c r="L29" t="s">
        <v>38</v>
      </c>
      <c r="M29" t="s">
        <v>39</v>
      </c>
      <c r="N29">
        <v>0</v>
      </c>
      <c r="O29">
        <v>26.67999999999952</v>
      </c>
      <c r="P29" t="b">
        <v>1</v>
      </c>
      <c r="Q29">
        <v>0</v>
      </c>
      <c r="R29" t="b">
        <v>1</v>
      </c>
      <c r="S29">
        <v>5.0100000000000003E-4</v>
      </c>
      <c r="T29" t="b">
        <v>1</v>
      </c>
      <c r="U29" t="b">
        <v>1</v>
      </c>
      <c r="V29">
        <v>23951465.135911629</v>
      </c>
      <c r="W29">
        <v>20598730.387608469</v>
      </c>
      <c r="AE29" t="b">
        <v>0</v>
      </c>
      <c r="AF29" t="b">
        <v>0</v>
      </c>
      <c r="AG29">
        <v>31</v>
      </c>
      <c r="AH29">
        <v>32</v>
      </c>
      <c r="AI29">
        <v>15.651</v>
      </c>
      <c r="AJ29">
        <v>16.149999999999999</v>
      </c>
    </row>
    <row r="30" spans="1:36" x14ac:dyDescent="0.25">
      <c r="A30">
        <v>29</v>
      </c>
      <c r="B30" t="s">
        <v>36</v>
      </c>
      <c r="C30" t="s">
        <v>37</v>
      </c>
      <c r="D30">
        <v>15.70876194994373</v>
      </c>
      <c r="E30">
        <v>1.2</v>
      </c>
      <c r="F30">
        <v>3.5000000000000003E-2</v>
      </c>
      <c r="G30">
        <v>7850</v>
      </c>
      <c r="H30">
        <v>0.12809844045012381</v>
      </c>
      <c r="I30">
        <v>15796.3030714418</v>
      </c>
      <c r="J30" t="s">
        <v>38</v>
      </c>
      <c r="K30" t="s">
        <v>39</v>
      </c>
      <c r="L30" t="s">
        <v>38</v>
      </c>
      <c r="M30" t="s">
        <v>39</v>
      </c>
      <c r="N30">
        <v>0</v>
      </c>
      <c r="O30">
        <v>14.85999999999977</v>
      </c>
      <c r="P30" t="b">
        <v>1</v>
      </c>
      <c r="Q30">
        <v>0</v>
      </c>
      <c r="R30" t="b">
        <v>1</v>
      </c>
      <c r="S30">
        <v>1.5100000000000001E-3</v>
      </c>
      <c r="T30" t="b">
        <v>1</v>
      </c>
      <c r="U30" t="b">
        <v>1</v>
      </c>
      <c r="V30">
        <v>16066618.13502383</v>
      </c>
      <c r="W30">
        <v>20598730.387608469</v>
      </c>
      <c r="AE30" t="b">
        <v>0</v>
      </c>
      <c r="AF30" t="b">
        <v>0</v>
      </c>
      <c r="AG30">
        <v>20</v>
      </c>
      <c r="AH30">
        <v>33</v>
      </c>
      <c r="AI30">
        <v>-24.614000000000001</v>
      </c>
      <c r="AJ30">
        <v>-8.9220000000000006</v>
      </c>
    </row>
    <row r="31" spans="1:36" x14ac:dyDescent="0.25">
      <c r="A31">
        <v>30</v>
      </c>
      <c r="B31" t="s">
        <v>40</v>
      </c>
      <c r="C31" t="s">
        <v>37</v>
      </c>
      <c r="D31">
        <v>13.314219841958449</v>
      </c>
      <c r="E31">
        <v>1.2</v>
      </c>
      <c r="F31">
        <v>3.5000000000000003E-2</v>
      </c>
      <c r="G31">
        <v>7850</v>
      </c>
      <c r="H31">
        <v>0.12809844045012381</v>
      </c>
      <c r="I31">
        <v>13388.416760885029</v>
      </c>
      <c r="J31" t="s">
        <v>41</v>
      </c>
      <c r="K31" t="s">
        <v>42</v>
      </c>
      <c r="L31" t="s">
        <v>41</v>
      </c>
      <c r="M31" t="s">
        <v>42</v>
      </c>
      <c r="N31">
        <v>15</v>
      </c>
      <c r="O31">
        <v>16.399999999999739</v>
      </c>
      <c r="P31" t="b">
        <v>1</v>
      </c>
      <c r="Q31">
        <v>0.42857142857142849</v>
      </c>
      <c r="R31" t="b">
        <v>0</v>
      </c>
      <c r="S31">
        <v>0.11501</v>
      </c>
      <c r="T31" t="b">
        <v>0</v>
      </c>
      <c r="U31" t="b">
        <v>0</v>
      </c>
      <c r="V31">
        <v>17177240.737587489</v>
      </c>
      <c r="W31">
        <v>20598730.387608469</v>
      </c>
      <c r="X31">
        <v>0.11501</v>
      </c>
      <c r="Y31" t="b">
        <v>1</v>
      </c>
      <c r="Z31">
        <v>15</v>
      </c>
      <c r="AA31">
        <v>16.399999999999739</v>
      </c>
      <c r="AB31" t="b">
        <v>1</v>
      </c>
      <c r="AC31" t="b">
        <v>1</v>
      </c>
      <c r="AE31" t="b">
        <v>0</v>
      </c>
      <c r="AF31" t="b">
        <v>0</v>
      </c>
      <c r="AG31">
        <v>33</v>
      </c>
      <c r="AH31">
        <v>34</v>
      </c>
      <c r="AI31">
        <v>-8.9220000000000006</v>
      </c>
      <c r="AJ31">
        <v>4.3780000000000001</v>
      </c>
    </row>
    <row r="32" spans="1:36" x14ac:dyDescent="0.25">
      <c r="A32">
        <v>31</v>
      </c>
      <c r="B32" t="s">
        <v>40</v>
      </c>
      <c r="C32" t="s">
        <v>37</v>
      </c>
      <c r="D32">
        <v>11.28507204230438</v>
      </c>
      <c r="E32">
        <v>1.2</v>
      </c>
      <c r="F32">
        <v>3.5000000000000003E-2</v>
      </c>
      <c r="G32">
        <v>7850</v>
      </c>
      <c r="H32">
        <v>0.12809844045012381</v>
      </c>
      <c r="I32">
        <v>11347.96101254391</v>
      </c>
      <c r="J32" t="s">
        <v>41</v>
      </c>
      <c r="K32" t="s">
        <v>42</v>
      </c>
      <c r="L32" t="s">
        <v>41</v>
      </c>
      <c r="M32" t="s">
        <v>42</v>
      </c>
      <c r="N32">
        <v>15</v>
      </c>
      <c r="O32">
        <v>18.499999999999691</v>
      </c>
      <c r="P32" t="b">
        <v>1</v>
      </c>
      <c r="Q32">
        <v>0.42857142857142849</v>
      </c>
      <c r="R32" t="b">
        <v>0</v>
      </c>
      <c r="S32">
        <v>7.6596999999999998E-2</v>
      </c>
      <c r="T32" t="b">
        <v>0</v>
      </c>
      <c r="U32" t="b">
        <v>0</v>
      </c>
      <c r="V32">
        <v>18135098.964425988</v>
      </c>
      <c r="W32">
        <v>20598730.387608469</v>
      </c>
      <c r="X32">
        <v>7.6596999999999998E-2</v>
      </c>
      <c r="Y32" t="b">
        <v>1</v>
      </c>
      <c r="Z32">
        <v>15</v>
      </c>
      <c r="AA32">
        <v>18.499999999999691</v>
      </c>
      <c r="AB32" t="b">
        <v>1</v>
      </c>
      <c r="AC32" t="b">
        <v>1</v>
      </c>
      <c r="AE32" t="b">
        <v>0</v>
      </c>
      <c r="AF32" t="b">
        <v>0</v>
      </c>
      <c r="AG32">
        <v>34</v>
      </c>
      <c r="AH32">
        <v>35</v>
      </c>
      <c r="AI32">
        <v>4.3780000000000001</v>
      </c>
      <c r="AJ32">
        <v>15.651</v>
      </c>
    </row>
    <row r="33" spans="1:36" x14ac:dyDescent="0.25">
      <c r="A33">
        <v>32</v>
      </c>
      <c r="B33" t="s">
        <v>43</v>
      </c>
      <c r="C33" t="s">
        <v>37</v>
      </c>
      <c r="D33">
        <v>0.49951276259971461</v>
      </c>
      <c r="E33">
        <v>1.2</v>
      </c>
      <c r="F33">
        <v>3.5000000000000003E-2</v>
      </c>
      <c r="G33">
        <v>7850</v>
      </c>
      <c r="H33">
        <v>0.12809844045012381</v>
      </c>
      <c r="I33">
        <v>502.29642611055749</v>
      </c>
      <c r="J33" t="s">
        <v>38</v>
      </c>
      <c r="K33" t="s">
        <v>39</v>
      </c>
      <c r="L33" t="s">
        <v>38</v>
      </c>
      <c r="M33" t="s">
        <v>39</v>
      </c>
      <c r="N33">
        <v>0</v>
      </c>
      <c r="O33">
        <v>20.839999999999641</v>
      </c>
      <c r="P33" t="b">
        <v>1</v>
      </c>
      <c r="Q33">
        <v>0</v>
      </c>
      <c r="R33" t="b">
        <v>1</v>
      </c>
      <c r="S33">
        <v>6.4899999999999995E-4</v>
      </c>
      <c r="T33" t="b">
        <v>1</v>
      </c>
      <c r="U33" t="b">
        <v>1</v>
      </c>
      <c r="V33">
        <v>23951465.135911629</v>
      </c>
      <c r="W33">
        <v>20598730.387608469</v>
      </c>
      <c r="AE33" t="b">
        <v>0</v>
      </c>
      <c r="AF33" t="b">
        <v>0</v>
      </c>
      <c r="AG33">
        <v>35</v>
      </c>
      <c r="AH33">
        <v>36</v>
      </c>
      <c r="AI33">
        <v>15.651</v>
      </c>
      <c r="AJ33">
        <v>16.149999999999999</v>
      </c>
    </row>
    <row r="34" spans="1:36" x14ac:dyDescent="0.25">
      <c r="A34">
        <v>33</v>
      </c>
      <c r="B34" t="s">
        <v>36</v>
      </c>
      <c r="C34" t="s">
        <v>44</v>
      </c>
      <c r="D34">
        <v>11.933999999999999</v>
      </c>
      <c r="E34">
        <v>0.8</v>
      </c>
      <c r="F34">
        <v>0.02</v>
      </c>
      <c r="G34">
        <v>7850</v>
      </c>
      <c r="H34">
        <v>4.9008845396000783E-2</v>
      </c>
      <c r="I34">
        <v>4591.2417535036047</v>
      </c>
      <c r="J34" t="s">
        <v>38</v>
      </c>
      <c r="K34" t="s">
        <v>39</v>
      </c>
      <c r="L34" t="s">
        <v>38</v>
      </c>
      <c r="M34" t="s">
        <v>39</v>
      </c>
      <c r="N34">
        <v>0</v>
      </c>
      <c r="O34">
        <v>18.74000000000013</v>
      </c>
      <c r="P34" t="b">
        <v>1</v>
      </c>
      <c r="Q34">
        <v>0</v>
      </c>
      <c r="R34" t="b">
        <v>1</v>
      </c>
      <c r="S34">
        <v>6.0000000000000002E-6</v>
      </c>
      <c r="T34" t="b">
        <v>1</v>
      </c>
      <c r="U34" t="b">
        <v>1</v>
      </c>
      <c r="V34">
        <v>6047983.1358968979</v>
      </c>
      <c r="W34">
        <v>8291963.6351000424</v>
      </c>
      <c r="AE34" t="b">
        <v>0</v>
      </c>
      <c r="AF34" t="b">
        <v>0</v>
      </c>
      <c r="AG34">
        <v>8</v>
      </c>
      <c r="AH34">
        <v>3</v>
      </c>
      <c r="AI34">
        <v>-44.000999999999998</v>
      </c>
      <c r="AJ34">
        <v>-44.000999999999998</v>
      </c>
    </row>
    <row r="35" spans="1:36" x14ac:dyDescent="0.25">
      <c r="A35">
        <v>34</v>
      </c>
      <c r="B35" t="s">
        <v>36</v>
      </c>
      <c r="C35" t="s">
        <v>44</v>
      </c>
      <c r="D35">
        <v>11.933999999999999</v>
      </c>
      <c r="E35">
        <v>0.8</v>
      </c>
      <c r="F35">
        <v>0.02</v>
      </c>
      <c r="G35">
        <v>7850</v>
      </c>
      <c r="H35">
        <v>4.9008845396000783E-2</v>
      </c>
      <c r="I35">
        <v>4591.2417535036047</v>
      </c>
      <c r="J35" t="s">
        <v>38</v>
      </c>
      <c r="K35" t="s">
        <v>39</v>
      </c>
      <c r="L35" t="s">
        <v>38</v>
      </c>
      <c r="M35" t="s">
        <v>39</v>
      </c>
      <c r="N35">
        <v>0</v>
      </c>
      <c r="O35">
        <v>17.829999999999991</v>
      </c>
      <c r="P35" t="b">
        <v>1</v>
      </c>
      <c r="Q35">
        <v>0</v>
      </c>
      <c r="R35" t="b">
        <v>1</v>
      </c>
      <c r="S35">
        <v>9.9999999999999995E-7</v>
      </c>
      <c r="T35" t="b">
        <v>1</v>
      </c>
      <c r="U35" t="b">
        <v>1</v>
      </c>
      <c r="V35">
        <v>6047983.1358968979</v>
      </c>
      <c r="W35">
        <v>8291963.6351000424</v>
      </c>
      <c r="AE35" t="b">
        <v>0</v>
      </c>
      <c r="AF35" t="b">
        <v>0</v>
      </c>
      <c r="AG35">
        <v>13</v>
      </c>
      <c r="AH35">
        <v>8</v>
      </c>
      <c r="AI35">
        <v>-44.000999999999998</v>
      </c>
      <c r="AJ35">
        <v>-44.000999999999998</v>
      </c>
    </row>
    <row r="36" spans="1:36" x14ac:dyDescent="0.25">
      <c r="A36">
        <v>35</v>
      </c>
      <c r="B36" t="s">
        <v>36</v>
      </c>
      <c r="C36" t="s">
        <v>44</v>
      </c>
      <c r="D36">
        <v>11.933999999999999</v>
      </c>
      <c r="E36">
        <v>0.8</v>
      </c>
      <c r="F36">
        <v>0.02</v>
      </c>
      <c r="G36">
        <v>7850</v>
      </c>
      <c r="H36">
        <v>4.9008845396000783E-2</v>
      </c>
      <c r="I36">
        <v>4591.2417535036047</v>
      </c>
      <c r="J36" t="s">
        <v>38</v>
      </c>
      <c r="K36" t="s">
        <v>39</v>
      </c>
      <c r="L36" t="s">
        <v>38</v>
      </c>
      <c r="M36" t="s">
        <v>39</v>
      </c>
      <c r="N36">
        <v>0</v>
      </c>
      <c r="O36">
        <v>18.820000000000139</v>
      </c>
      <c r="P36" t="b">
        <v>1</v>
      </c>
      <c r="Q36">
        <v>0</v>
      </c>
      <c r="R36" t="b">
        <v>1</v>
      </c>
      <c r="S36">
        <v>5.0000000000000004E-6</v>
      </c>
      <c r="T36" t="b">
        <v>1</v>
      </c>
      <c r="U36" t="b">
        <v>1</v>
      </c>
      <c r="V36">
        <v>6047983.1358968979</v>
      </c>
      <c r="W36">
        <v>8291963.6351000424</v>
      </c>
      <c r="AE36" t="b">
        <v>0</v>
      </c>
      <c r="AF36" t="b">
        <v>0</v>
      </c>
      <c r="AG36">
        <v>13</v>
      </c>
      <c r="AH36">
        <v>18</v>
      </c>
      <c r="AI36">
        <v>-44.000999999999998</v>
      </c>
      <c r="AJ36">
        <v>-44.000999999999998</v>
      </c>
    </row>
    <row r="37" spans="1:36" x14ac:dyDescent="0.25">
      <c r="A37">
        <v>36</v>
      </c>
      <c r="B37" t="s">
        <v>36</v>
      </c>
      <c r="C37" t="s">
        <v>44</v>
      </c>
      <c r="D37">
        <v>11.933999999999999</v>
      </c>
      <c r="E37">
        <v>0.8</v>
      </c>
      <c r="F37">
        <v>0.02</v>
      </c>
      <c r="G37">
        <v>7850</v>
      </c>
      <c r="H37">
        <v>4.9008845396000783E-2</v>
      </c>
      <c r="I37">
        <v>4591.2417535036047</v>
      </c>
      <c r="J37" t="s">
        <v>38</v>
      </c>
      <c r="K37" t="s">
        <v>39</v>
      </c>
      <c r="L37" t="s">
        <v>38</v>
      </c>
      <c r="M37" t="s">
        <v>39</v>
      </c>
      <c r="N37">
        <v>0</v>
      </c>
      <c r="O37">
        <v>18.430000000000081</v>
      </c>
      <c r="P37" t="b">
        <v>1</v>
      </c>
      <c r="Q37">
        <v>0</v>
      </c>
      <c r="R37" t="b">
        <v>1</v>
      </c>
      <c r="S37">
        <v>9.9999999999999995E-7</v>
      </c>
      <c r="T37" t="b">
        <v>1</v>
      </c>
      <c r="U37" t="b">
        <v>1</v>
      </c>
      <c r="V37">
        <v>6047983.1358968979</v>
      </c>
      <c r="W37">
        <v>8291963.6351000424</v>
      </c>
      <c r="AE37" t="b">
        <v>0</v>
      </c>
      <c r="AF37" t="b">
        <v>0</v>
      </c>
      <c r="AG37">
        <v>18</v>
      </c>
      <c r="AH37">
        <v>3</v>
      </c>
      <c r="AI37">
        <v>-44.000999999999998</v>
      </c>
      <c r="AJ37">
        <v>-44.000999999999998</v>
      </c>
    </row>
    <row r="38" spans="1:36" x14ac:dyDescent="0.25">
      <c r="A38">
        <v>37</v>
      </c>
      <c r="B38" t="s">
        <v>36</v>
      </c>
      <c r="C38" t="s">
        <v>44</v>
      </c>
      <c r="D38">
        <v>11.424272318182901</v>
      </c>
      <c r="E38">
        <v>0.8</v>
      </c>
      <c r="F38">
        <v>0.02</v>
      </c>
      <c r="G38">
        <v>7850</v>
      </c>
      <c r="H38">
        <v>4.9008845396000783E-2</v>
      </c>
      <c r="I38">
        <v>4395.1396070585524</v>
      </c>
      <c r="J38" t="s">
        <v>38</v>
      </c>
      <c r="K38" t="s">
        <v>39</v>
      </c>
      <c r="L38" t="s">
        <v>38</v>
      </c>
      <c r="M38" t="s">
        <v>39</v>
      </c>
      <c r="N38">
        <v>0</v>
      </c>
      <c r="O38">
        <v>15.019999999999721</v>
      </c>
      <c r="P38" t="b">
        <v>1</v>
      </c>
      <c r="Q38">
        <v>0</v>
      </c>
      <c r="R38" t="b">
        <v>1</v>
      </c>
      <c r="S38">
        <v>6.0000000000000002E-5</v>
      </c>
      <c r="T38" t="b">
        <v>1</v>
      </c>
      <c r="U38" t="b">
        <v>1</v>
      </c>
      <c r="V38">
        <v>6187966.015888989</v>
      </c>
      <c r="W38">
        <v>8291963.6351000424</v>
      </c>
      <c r="AE38" t="b">
        <v>0</v>
      </c>
      <c r="AF38" t="b">
        <v>0</v>
      </c>
      <c r="AG38">
        <v>4</v>
      </c>
      <c r="AH38">
        <v>37</v>
      </c>
      <c r="AI38">
        <v>-43.127000000000002</v>
      </c>
      <c r="AJ38">
        <v>-33.372999999999998</v>
      </c>
    </row>
    <row r="39" spans="1:36" x14ac:dyDescent="0.25">
      <c r="A39">
        <v>38</v>
      </c>
      <c r="B39" t="s">
        <v>36</v>
      </c>
      <c r="C39" t="s">
        <v>44</v>
      </c>
      <c r="D39">
        <v>10.25881762192895</v>
      </c>
      <c r="E39">
        <v>0.8</v>
      </c>
      <c r="F39">
        <v>0.02</v>
      </c>
      <c r="G39">
        <v>7850</v>
      </c>
      <c r="H39">
        <v>4.9008845396000783E-2</v>
      </c>
      <c r="I39">
        <v>3946.766533214241</v>
      </c>
      <c r="J39" t="s">
        <v>38</v>
      </c>
      <c r="K39" t="s">
        <v>39</v>
      </c>
      <c r="L39" t="s">
        <v>38</v>
      </c>
      <c r="M39" t="s">
        <v>39</v>
      </c>
      <c r="N39">
        <v>0</v>
      </c>
      <c r="O39">
        <v>15.39999999999972</v>
      </c>
      <c r="P39" t="b">
        <v>1</v>
      </c>
      <c r="Q39">
        <v>0</v>
      </c>
      <c r="R39" t="b">
        <v>1</v>
      </c>
      <c r="S39">
        <v>1.25E-4</v>
      </c>
      <c r="T39" t="b">
        <v>1</v>
      </c>
      <c r="U39" t="b">
        <v>1</v>
      </c>
      <c r="V39">
        <v>6511518.2934495974</v>
      </c>
      <c r="W39">
        <v>8291963.6351000424</v>
      </c>
      <c r="AE39" t="b">
        <v>0</v>
      </c>
      <c r="AF39" t="b">
        <v>0</v>
      </c>
      <c r="AG39">
        <v>37</v>
      </c>
      <c r="AH39">
        <v>20</v>
      </c>
      <c r="AI39">
        <v>-33.372999999999998</v>
      </c>
      <c r="AJ39">
        <v>-24.614000000000001</v>
      </c>
    </row>
    <row r="40" spans="1:36" x14ac:dyDescent="0.25">
      <c r="A40">
        <v>39</v>
      </c>
      <c r="B40" t="s">
        <v>36</v>
      </c>
      <c r="C40" t="s">
        <v>44</v>
      </c>
      <c r="D40">
        <v>11.424272318182901</v>
      </c>
      <c r="E40">
        <v>0.8</v>
      </c>
      <c r="F40">
        <v>0.02</v>
      </c>
      <c r="G40">
        <v>7850</v>
      </c>
      <c r="H40">
        <v>4.9008845396000783E-2</v>
      </c>
      <c r="I40">
        <v>4395.1396070585524</v>
      </c>
      <c r="J40" t="s">
        <v>38</v>
      </c>
      <c r="K40" t="s">
        <v>39</v>
      </c>
      <c r="L40" t="s">
        <v>38</v>
      </c>
      <c r="M40" t="s">
        <v>39</v>
      </c>
      <c r="N40">
        <v>0</v>
      </c>
      <c r="O40">
        <v>14.699999999999729</v>
      </c>
      <c r="P40" t="b">
        <v>1</v>
      </c>
      <c r="Q40">
        <v>0</v>
      </c>
      <c r="R40" t="b">
        <v>1</v>
      </c>
      <c r="S40">
        <v>8.0000000000000007E-5</v>
      </c>
      <c r="T40" t="b">
        <v>1</v>
      </c>
      <c r="U40" t="b">
        <v>1</v>
      </c>
      <c r="V40">
        <v>6187966.015888989</v>
      </c>
      <c r="W40">
        <v>8291963.6351000424</v>
      </c>
      <c r="AE40" t="b">
        <v>0</v>
      </c>
      <c r="AF40" t="b">
        <v>0</v>
      </c>
      <c r="AG40">
        <v>19</v>
      </c>
      <c r="AH40">
        <v>37</v>
      </c>
      <c r="AI40">
        <v>-43.127000000000002</v>
      </c>
      <c r="AJ40">
        <v>-33.372999999999998</v>
      </c>
    </row>
    <row r="41" spans="1:36" x14ac:dyDescent="0.25">
      <c r="A41">
        <v>40</v>
      </c>
      <c r="B41" t="s">
        <v>36</v>
      </c>
      <c r="C41" t="s">
        <v>44</v>
      </c>
      <c r="D41">
        <v>10.25881762192895</v>
      </c>
      <c r="E41">
        <v>0.8</v>
      </c>
      <c r="F41">
        <v>0.02</v>
      </c>
      <c r="G41">
        <v>7850</v>
      </c>
      <c r="H41">
        <v>4.9008845396000783E-2</v>
      </c>
      <c r="I41">
        <v>3946.766533214241</v>
      </c>
      <c r="J41" t="s">
        <v>38</v>
      </c>
      <c r="K41" t="s">
        <v>39</v>
      </c>
      <c r="L41" t="s">
        <v>38</v>
      </c>
      <c r="M41" t="s">
        <v>39</v>
      </c>
      <c r="N41">
        <v>0</v>
      </c>
      <c r="O41">
        <v>15.089999999999719</v>
      </c>
      <c r="P41" t="b">
        <v>1</v>
      </c>
      <c r="Q41">
        <v>0</v>
      </c>
      <c r="R41" t="b">
        <v>1</v>
      </c>
      <c r="S41">
        <v>1.64E-4</v>
      </c>
      <c r="T41" t="b">
        <v>1</v>
      </c>
      <c r="U41" t="b">
        <v>1</v>
      </c>
      <c r="V41">
        <v>6511518.2934495974</v>
      </c>
      <c r="W41">
        <v>8291963.6351000424</v>
      </c>
      <c r="AE41" t="b">
        <v>0</v>
      </c>
      <c r="AF41" t="b">
        <v>0</v>
      </c>
      <c r="AG41">
        <v>37</v>
      </c>
      <c r="AH41">
        <v>5</v>
      </c>
      <c r="AI41">
        <v>-33.372999999999998</v>
      </c>
      <c r="AJ41">
        <v>-24.614000000000001</v>
      </c>
    </row>
    <row r="42" spans="1:36" x14ac:dyDescent="0.25">
      <c r="A42">
        <v>41</v>
      </c>
      <c r="B42" t="s">
        <v>36</v>
      </c>
      <c r="C42" t="s">
        <v>44</v>
      </c>
      <c r="D42">
        <v>11.424272318182901</v>
      </c>
      <c r="E42">
        <v>0.8</v>
      </c>
      <c r="F42">
        <v>0.02</v>
      </c>
      <c r="G42">
        <v>7850</v>
      </c>
      <c r="H42">
        <v>4.9008845396000783E-2</v>
      </c>
      <c r="I42">
        <v>4395.1396070585524</v>
      </c>
      <c r="J42" t="s">
        <v>38</v>
      </c>
      <c r="K42" t="s">
        <v>39</v>
      </c>
      <c r="L42" t="s">
        <v>38</v>
      </c>
      <c r="M42" t="s">
        <v>39</v>
      </c>
      <c r="N42">
        <v>0</v>
      </c>
      <c r="O42">
        <v>15.339999999999719</v>
      </c>
      <c r="P42" t="b">
        <v>1</v>
      </c>
      <c r="Q42">
        <v>0</v>
      </c>
      <c r="R42" t="b">
        <v>1</v>
      </c>
      <c r="S42">
        <v>7.7000000000000001E-5</v>
      </c>
      <c r="T42" t="b">
        <v>1</v>
      </c>
      <c r="U42" t="b">
        <v>1</v>
      </c>
      <c r="V42">
        <v>6187966.015888989</v>
      </c>
      <c r="W42">
        <v>8291963.6351000424</v>
      </c>
      <c r="AE42" t="b">
        <v>0</v>
      </c>
      <c r="AF42" t="b">
        <v>0</v>
      </c>
      <c r="AG42">
        <v>9</v>
      </c>
      <c r="AH42">
        <v>38</v>
      </c>
      <c r="AI42">
        <v>-43.127000000000002</v>
      </c>
      <c r="AJ42">
        <v>-33.372999999999998</v>
      </c>
    </row>
    <row r="43" spans="1:36" x14ac:dyDescent="0.25">
      <c r="A43">
        <v>42</v>
      </c>
      <c r="B43" t="s">
        <v>36</v>
      </c>
      <c r="C43" t="s">
        <v>44</v>
      </c>
      <c r="D43">
        <v>10.25881762192895</v>
      </c>
      <c r="E43">
        <v>0.8</v>
      </c>
      <c r="F43">
        <v>0.02</v>
      </c>
      <c r="G43">
        <v>7850</v>
      </c>
      <c r="H43">
        <v>4.9008845396000783E-2</v>
      </c>
      <c r="I43">
        <v>3946.766533214241</v>
      </c>
      <c r="J43" t="s">
        <v>38</v>
      </c>
      <c r="K43" t="s">
        <v>39</v>
      </c>
      <c r="L43" t="s">
        <v>38</v>
      </c>
      <c r="M43" t="s">
        <v>39</v>
      </c>
      <c r="N43">
        <v>0</v>
      </c>
      <c r="O43">
        <v>15.66999999999971</v>
      </c>
      <c r="P43" t="b">
        <v>1</v>
      </c>
      <c r="Q43">
        <v>0</v>
      </c>
      <c r="R43" t="b">
        <v>1</v>
      </c>
      <c r="S43">
        <v>1.54E-4</v>
      </c>
      <c r="T43" t="b">
        <v>1</v>
      </c>
      <c r="U43" t="b">
        <v>1</v>
      </c>
      <c r="V43">
        <v>6511518.2934495974</v>
      </c>
      <c r="W43">
        <v>8291963.6351000424</v>
      </c>
      <c r="AE43" t="b">
        <v>0</v>
      </c>
      <c r="AF43" t="b">
        <v>0</v>
      </c>
      <c r="AG43">
        <v>38</v>
      </c>
      <c r="AH43">
        <v>15</v>
      </c>
      <c r="AI43">
        <v>-33.372999999999998</v>
      </c>
      <c r="AJ43">
        <v>-24.614000000000001</v>
      </c>
    </row>
    <row r="44" spans="1:36" x14ac:dyDescent="0.25">
      <c r="A44">
        <v>43</v>
      </c>
      <c r="B44" t="s">
        <v>36</v>
      </c>
      <c r="C44" t="s">
        <v>44</v>
      </c>
      <c r="D44">
        <v>11.424272318182901</v>
      </c>
      <c r="E44">
        <v>0.8</v>
      </c>
      <c r="F44">
        <v>0.02</v>
      </c>
      <c r="G44">
        <v>7850</v>
      </c>
      <c r="H44">
        <v>4.9008845396000783E-2</v>
      </c>
      <c r="I44">
        <v>4395.1396070585524</v>
      </c>
      <c r="J44" t="s">
        <v>38</v>
      </c>
      <c r="K44" t="s">
        <v>39</v>
      </c>
      <c r="L44" t="s">
        <v>38</v>
      </c>
      <c r="M44" t="s">
        <v>39</v>
      </c>
      <c r="N44">
        <v>0</v>
      </c>
      <c r="O44">
        <v>15.67999999999971</v>
      </c>
      <c r="P44" t="b">
        <v>1</v>
      </c>
      <c r="Q44">
        <v>0</v>
      </c>
      <c r="R44" t="b">
        <v>1</v>
      </c>
      <c r="S44">
        <v>7.2000000000000002E-5</v>
      </c>
      <c r="T44" t="b">
        <v>1</v>
      </c>
      <c r="U44" t="b">
        <v>1</v>
      </c>
      <c r="V44">
        <v>6187966.015888989</v>
      </c>
      <c r="W44">
        <v>8291963.6351000424</v>
      </c>
      <c r="AE44" t="b">
        <v>0</v>
      </c>
      <c r="AF44" t="b">
        <v>0</v>
      </c>
      <c r="AG44">
        <v>14</v>
      </c>
      <c r="AH44">
        <v>38</v>
      </c>
      <c r="AI44">
        <v>-43.127000000000002</v>
      </c>
      <c r="AJ44">
        <v>-33.372999999999998</v>
      </c>
    </row>
    <row r="45" spans="1:36" x14ac:dyDescent="0.25">
      <c r="A45">
        <v>44</v>
      </c>
      <c r="B45" t="s">
        <v>36</v>
      </c>
      <c r="C45" t="s">
        <v>44</v>
      </c>
      <c r="D45">
        <v>10.25881762192895</v>
      </c>
      <c r="E45">
        <v>0.8</v>
      </c>
      <c r="F45">
        <v>0.02</v>
      </c>
      <c r="G45">
        <v>7850</v>
      </c>
      <c r="H45">
        <v>4.9008845396000783E-2</v>
      </c>
      <c r="I45">
        <v>3946.766533214241</v>
      </c>
      <c r="J45" t="s">
        <v>38</v>
      </c>
      <c r="K45" t="s">
        <v>39</v>
      </c>
      <c r="L45" t="s">
        <v>38</v>
      </c>
      <c r="M45" t="s">
        <v>39</v>
      </c>
      <c r="N45">
        <v>0</v>
      </c>
      <c r="O45">
        <v>16.0099999999997</v>
      </c>
      <c r="P45" t="b">
        <v>1</v>
      </c>
      <c r="Q45">
        <v>0</v>
      </c>
      <c r="R45" t="b">
        <v>1</v>
      </c>
      <c r="S45">
        <v>1.45E-4</v>
      </c>
      <c r="T45" t="b">
        <v>1</v>
      </c>
      <c r="U45" t="b">
        <v>1</v>
      </c>
      <c r="V45">
        <v>6511518.2934495974</v>
      </c>
      <c r="W45">
        <v>8291963.6351000424</v>
      </c>
      <c r="AE45" t="b">
        <v>0</v>
      </c>
      <c r="AF45" t="b">
        <v>0</v>
      </c>
      <c r="AG45">
        <v>38</v>
      </c>
      <c r="AH45">
        <v>10</v>
      </c>
      <c r="AI45">
        <v>-33.372999999999998</v>
      </c>
      <c r="AJ45">
        <v>-24.614000000000001</v>
      </c>
    </row>
    <row r="46" spans="1:36" x14ac:dyDescent="0.25">
      <c r="A46">
        <v>45</v>
      </c>
      <c r="B46" t="s">
        <v>36</v>
      </c>
      <c r="C46" t="s">
        <v>44</v>
      </c>
      <c r="D46">
        <v>11.424272318182901</v>
      </c>
      <c r="E46">
        <v>0.8</v>
      </c>
      <c r="F46">
        <v>0.02</v>
      </c>
      <c r="G46">
        <v>7850</v>
      </c>
      <c r="H46">
        <v>4.9008845396000783E-2</v>
      </c>
      <c r="I46">
        <v>4395.1396070585524</v>
      </c>
      <c r="J46" t="s">
        <v>38</v>
      </c>
      <c r="K46" t="s">
        <v>39</v>
      </c>
      <c r="L46" t="s">
        <v>38</v>
      </c>
      <c r="M46" t="s">
        <v>39</v>
      </c>
      <c r="N46">
        <v>0</v>
      </c>
      <c r="O46">
        <v>13.74999999999975</v>
      </c>
      <c r="P46" t="b">
        <v>1</v>
      </c>
      <c r="Q46">
        <v>0</v>
      </c>
      <c r="R46" t="b">
        <v>1</v>
      </c>
      <c r="S46">
        <v>4.0400000000000001E-4</v>
      </c>
      <c r="T46" t="b">
        <v>1</v>
      </c>
      <c r="U46" t="b">
        <v>1</v>
      </c>
      <c r="V46">
        <v>6187966.015888989</v>
      </c>
      <c r="W46">
        <v>8291963.6351000424</v>
      </c>
      <c r="AE46" t="b">
        <v>0</v>
      </c>
      <c r="AF46" t="b">
        <v>0</v>
      </c>
      <c r="AG46">
        <v>4</v>
      </c>
      <c r="AH46">
        <v>39</v>
      </c>
      <c r="AI46">
        <v>-43.127000000000002</v>
      </c>
      <c r="AJ46">
        <v>-33.372999999999998</v>
      </c>
    </row>
    <row r="47" spans="1:36" x14ac:dyDescent="0.25">
      <c r="A47">
        <v>46</v>
      </c>
      <c r="B47" t="s">
        <v>36</v>
      </c>
      <c r="C47" t="s">
        <v>44</v>
      </c>
      <c r="D47">
        <v>10.25881762192895</v>
      </c>
      <c r="E47">
        <v>0.8</v>
      </c>
      <c r="F47">
        <v>0.02</v>
      </c>
      <c r="G47">
        <v>7850</v>
      </c>
      <c r="H47">
        <v>4.9008845396000783E-2</v>
      </c>
      <c r="I47">
        <v>3946.766533214241</v>
      </c>
      <c r="J47" t="s">
        <v>38</v>
      </c>
      <c r="K47" t="s">
        <v>39</v>
      </c>
      <c r="L47" t="s">
        <v>38</v>
      </c>
      <c r="M47" t="s">
        <v>39</v>
      </c>
      <c r="N47">
        <v>0</v>
      </c>
      <c r="O47">
        <v>14.17999999999974</v>
      </c>
      <c r="P47" t="b">
        <v>1</v>
      </c>
      <c r="Q47">
        <v>0</v>
      </c>
      <c r="R47" t="b">
        <v>1</v>
      </c>
      <c r="S47">
        <v>4.1300000000000001E-4</v>
      </c>
      <c r="T47" t="b">
        <v>1</v>
      </c>
      <c r="U47" t="b">
        <v>1</v>
      </c>
      <c r="V47">
        <v>6511518.2934495974</v>
      </c>
      <c r="W47">
        <v>8291963.6351000424</v>
      </c>
      <c r="AE47" t="b">
        <v>0</v>
      </c>
      <c r="AF47" t="b">
        <v>0</v>
      </c>
      <c r="AG47">
        <v>39</v>
      </c>
      <c r="AH47">
        <v>10</v>
      </c>
      <c r="AI47">
        <v>-33.372999999999998</v>
      </c>
      <c r="AJ47">
        <v>-24.614000000000001</v>
      </c>
    </row>
    <row r="48" spans="1:36" x14ac:dyDescent="0.25">
      <c r="A48">
        <v>47</v>
      </c>
      <c r="B48" t="s">
        <v>36</v>
      </c>
      <c r="C48" t="s">
        <v>44</v>
      </c>
      <c r="D48">
        <v>11.424272318182901</v>
      </c>
      <c r="E48">
        <v>0.8</v>
      </c>
      <c r="F48">
        <v>0.02</v>
      </c>
      <c r="G48">
        <v>7850</v>
      </c>
      <c r="H48">
        <v>4.9008845396000783E-2</v>
      </c>
      <c r="I48">
        <v>4395.1396070585524</v>
      </c>
      <c r="J48" t="s">
        <v>38</v>
      </c>
      <c r="K48" t="s">
        <v>39</v>
      </c>
      <c r="L48" t="s">
        <v>38</v>
      </c>
      <c r="M48" t="s">
        <v>39</v>
      </c>
      <c r="N48">
        <v>0</v>
      </c>
      <c r="O48">
        <v>14.799999999999731</v>
      </c>
      <c r="P48" t="b">
        <v>1</v>
      </c>
      <c r="Q48">
        <v>0</v>
      </c>
      <c r="R48" t="b">
        <v>1</v>
      </c>
      <c r="S48">
        <v>4.3100000000000001E-4</v>
      </c>
      <c r="T48" t="b">
        <v>1</v>
      </c>
      <c r="U48" t="b">
        <v>1</v>
      </c>
      <c r="V48">
        <v>6187966.015888989</v>
      </c>
      <c r="W48">
        <v>8291963.6351000424</v>
      </c>
      <c r="AE48" t="b">
        <v>0</v>
      </c>
      <c r="AF48" t="b">
        <v>0</v>
      </c>
      <c r="AG48">
        <v>9</v>
      </c>
      <c r="AH48">
        <v>39</v>
      </c>
      <c r="AI48">
        <v>-43.127000000000002</v>
      </c>
      <c r="AJ48">
        <v>-33.372999999999998</v>
      </c>
    </row>
    <row r="49" spans="1:36" x14ac:dyDescent="0.25">
      <c r="A49">
        <v>48</v>
      </c>
      <c r="B49" t="s">
        <v>36</v>
      </c>
      <c r="C49" t="s">
        <v>44</v>
      </c>
      <c r="D49">
        <v>10.25881762192895</v>
      </c>
      <c r="E49">
        <v>0.8</v>
      </c>
      <c r="F49">
        <v>0.02</v>
      </c>
      <c r="G49">
        <v>7850</v>
      </c>
      <c r="H49">
        <v>4.9008845396000783E-2</v>
      </c>
      <c r="I49">
        <v>3946.766533214241</v>
      </c>
      <c r="J49" t="s">
        <v>38</v>
      </c>
      <c r="K49" t="s">
        <v>39</v>
      </c>
      <c r="L49" t="s">
        <v>38</v>
      </c>
      <c r="M49" t="s">
        <v>39</v>
      </c>
      <c r="N49">
        <v>0</v>
      </c>
      <c r="O49">
        <v>15.12999999999972</v>
      </c>
      <c r="P49" t="b">
        <v>1</v>
      </c>
      <c r="Q49">
        <v>0</v>
      </c>
      <c r="R49" t="b">
        <v>1</v>
      </c>
      <c r="S49">
        <v>3.8499999999999998E-4</v>
      </c>
      <c r="T49" t="b">
        <v>1</v>
      </c>
      <c r="U49" t="b">
        <v>1</v>
      </c>
      <c r="V49">
        <v>6511518.2934495974</v>
      </c>
      <c r="W49">
        <v>8291963.6351000424</v>
      </c>
      <c r="AE49" t="b">
        <v>0</v>
      </c>
      <c r="AF49" t="b">
        <v>0</v>
      </c>
      <c r="AG49">
        <v>39</v>
      </c>
      <c r="AH49">
        <v>5</v>
      </c>
      <c r="AI49">
        <v>-33.372999999999998</v>
      </c>
      <c r="AJ49">
        <v>-24.614000000000001</v>
      </c>
    </row>
    <row r="50" spans="1:36" x14ac:dyDescent="0.25">
      <c r="A50">
        <v>49</v>
      </c>
      <c r="B50" t="s">
        <v>36</v>
      </c>
      <c r="C50" t="s">
        <v>44</v>
      </c>
      <c r="D50">
        <v>11.424272318182901</v>
      </c>
      <c r="E50">
        <v>0.8</v>
      </c>
      <c r="F50">
        <v>0.02</v>
      </c>
      <c r="G50">
        <v>7850</v>
      </c>
      <c r="H50">
        <v>4.9008845396000783E-2</v>
      </c>
      <c r="I50">
        <v>4395.1396070585524</v>
      </c>
      <c r="J50" t="s">
        <v>38</v>
      </c>
      <c r="K50" t="s">
        <v>39</v>
      </c>
      <c r="L50" t="s">
        <v>38</v>
      </c>
      <c r="M50" t="s">
        <v>39</v>
      </c>
      <c r="N50">
        <v>0</v>
      </c>
      <c r="O50">
        <v>14.28999999999974</v>
      </c>
      <c r="P50" t="b">
        <v>1</v>
      </c>
      <c r="Q50">
        <v>0</v>
      </c>
      <c r="R50" t="b">
        <v>1</v>
      </c>
      <c r="S50">
        <v>3.6299999999999999E-4</v>
      </c>
      <c r="T50" t="b">
        <v>1</v>
      </c>
      <c r="U50" t="b">
        <v>1</v>
      </c>
      <c r="V50">
        <v>6187966.015888989</v>
      </c>
      <c r="W50">
        <v>8291963.6351000424</v>
      </c>
      <c r="AE50" t="b">
        <v>0</v>
      </c>
      <c r="AF50" t="b">
        <v>0</v>
      </c>
      <c r="AG50">
        <v>19</v>
      </c>
      <c r="AH50">
        <v>40</v>
      </c>
      <c r="AI50">
        <v>-43.127000000000002</v>
      </c>
      <c r="AJ50">
        <v>-33.372999999999998</v>
      </c>
    </row>
    <row r="51" spans="1:36" x14ac:dyDescent="0.25">
      <c r="A51">
        <v>50</v>
      </c>
      <c r="B51" t="s">
        <v>36</v>
      </c>
      <c r="C51" t="s">
        <v>44</v>
      </c>
      <c r="D51">
        <v>10.25881762192895</v>
      </c>
      <c r="E51">
        <v>0.8</v>
      </c>
      <c r="F51">
        <v>0.02</v>
      </c>
      <c r="G51">
        <v>7850</v>
      </c>
      <c r="H51">
        <v>4.9008845396000783E-2</v>
      </c>
      <c r="I51">
        <v>3946.766533214241</v>
      </c>
      <c r="J51" t="s">
        <v>38</v>
      </c>
      <c r="K51" t="s">
        <v>39</v>
      </c>
      <c r="L51" t="s">
        <v>38</v>
      </c>
      <c r="M51" t="s">
        <v>39</v>
      </c>
      <c r="N51">
        <v>0</v>
      </c>
      <c r="O51">
        <v>14.719999999999731</v>
      </c>
      <c r="P51" t="b">
        <v>1</v>
      </c>
      <c r="Q51">
        <v>0</v>
      </c>
      <c r="R51" t="b">
        <v>1</v>
      </c>
      <c r="S51">
        <v>3.2299999999999999E-4</v>
      </c>
      <c r="T51" t="b">
        <v>1</v>
      </c>
      <c r="U51" t="b">
        <v>1</v>
      </c>
      <c r="V51">
        <v>6511518.2934495974</v>
      </c>
      <c r="W51">
        <v>8291963.6351000424</v>
      </c>
      <c r="AE51" t="b">
        <v>0</v>
      </c>
      <c r="AF51" t="b">
        <v>0</v>
      </c>
      <c r="AG51">
        <v>40</v>
      </c>
      <c r="AH51">
        <v>15</v>
      </c>
      <c r="AI51">
        <v>-33.372999999999998</v>
      </c>
      <c r="AJ51">
        <v>-24.614000000000001</v>
      </c>
    </row>
    <row r="52" spans="1:36" x14ac:dyDescent="0.25">
      <c r="A52">
        <v>51</v>
      </c>
      <c r="B52" t="s">
        <v>36</v>
      </c>
      <c r="C52" t="s">
        <v>44</v>
      </c>
      <c r="D52">
        <v>11.424272318182901</v>
      </c>
      <c r="E52">
        <v>0.8</v>
      </c>
      <c r="F52">
        <v>0.02</v>
      </c>
      <c r="G52">
        <v>7850</v>
      </c>
      <c r="H52">
        <v>4.9008845396000783E-2</v>
      </c>
      <c r="I52">
        <v>4395.1396070585524</v>
      </c>
      <c r="J52" t="s">
        <v>38</v>
      </c>
      <c r="K52" t="s">
        <v>39</v>
      </c>
      <c r="L52" t="s">
        <v>38</v>
      </c>
      <c r="M52" t="s">
        <v>39</v>
      </c>
      <c r="N52">
        <v>0</v>
      </c>
      <c r="O52">
        <v>14.539999999999729</v>
      </c>
      <c r="P52" t="b">
        <v>1</v>
      </c>
      <c r="Q52">
        <v>0</v>
      </c>
      <c r="R52" t="b">
        <v>1</v>
      </c>
      <c r="S52">
        <v>3.3700000000000001E-4</v>
      </c>
      <c r="T52" t="b">
        <v>1</v>
      </c>
      <c r="U52" t="b">
        <v>1</v>
      </c>
      <c r="V52">
        <v>6187966.015888989</v>
      </c>
      <c r="W52">
        <v>8291963.6351000424</v>
      </c>
      <c r="AE52" t="b">
        <v>0</v>
      </c>
      <c r="AF52" t="b">
        <v>0</v>
      </c>
      <c r="AG52">
        <v>14</v>
      </c>
      <c r="AH52">
        <v>40</v>
      </c>
      <c r="AI52">
        <v>-43.127000000000002</v>
      </c>
      <c r="AJ52">
        <v>-33.372999999999998</v>
      </c>
    </row>
    <row r="53" spans="1:36" x14ac:dyDescent="0.25">
      <c r="A53">
        <v>52</v>
      </c>
      <c r="B53" t="s">
        <v>36</v>
      </c>
      <c r="C53" t="s">
        <v>44</v>
      </c>
      <c r="D53">
        <v>10.25881762192895</v>
      </c>
      <c r="E53">
        <v>0.8</v>
      </c>
      <c r="F53">
        <v>0.02</v>
      </c>
      <c r="G53">
        <v>7850</v>
      </c>
      <c r="H53">
        <v>4.9008845396000783E-2</v>
      </c>
      <c r="I53">
        <v>3946.766533214241</v>
      </c>
      <c r="J53" t="s">
        <v>38</v>
      </c>
      <c r="K53" t="s">
        <v>39</v>
      </c>
      <c r="L53" t="s">
        <v>38</v>
      </c>
      <c r="M53" t="s">
        <v>39</v>
      </c>
      <c r="N53">
        <v>0</v>
      </c>
      <c r="O53">
        <v>14.89999999999973</v>
      </c>
      <c r="P53" t="b">
        <v>1</v>
      </c>
      <c r="Q53">
        <v>0</v>
      </c>
      <c r="R53" t="b">
        <v>1</v>
      </c>
      <c r="S53">
        <v>3.5300000000000002E-4</v>
      </c>
      <c r="T53" t="b">
        <v>1</v>
      </c>
      <c r="U53" t="b">
        <v>1</v>
      </c>
      <c r="V53">
        <v>6511518.2934495974</v>
      </c>
      <c r="W53">
        <v>8291963.6351000424</v>
      </c>
      <c r="AE53" t="b">
        <v>0</v>
      </c>
      <c r="AF53" t="b">
        <v>0</v>
      </c>
      <c r="AG53">
        <v>40</v>
      </c>
      <c r="AH53">
        <v>20</v>
      </c>
      <c r="AI53">
        <v>-33.372999999999998</v>
      </c>
      <c r="AJ53">
        <v>-24.614000000000001</v>
      </c>
    </row>
    <row r="54" spans="1:36" x14ac:dyDescent="0.25">
      <c r="A54">
        <v>53</v>
      </c>
      <c r="B54" t="s">
        <v>36</v>
      </c>
      <c r="C54" t="s">
        <v>44</v>
      </c>
      <c r="D54">
        <v>9.8214204166199934</v>
      </c>
      <c r="E54">
        <v>0.8</v>
      </c>
      <c r="F54">
        <v>0.02</v>
      </c>
      <c r="G54">
        <v>7850</v>
      </c>
      <c r="H54">
        <v>4.9008845396000783E-2</v>
      </c>
      <c r="I54">
        <v>3778.4913269229501</v>
      </c>
      <c r="J54" t="s">
        <v>38</v>
      </c>
      <c r="K54" t="s">
        <v>39</v>
      </c>
      <c r="L54" t="s">
        <v>38</v>
      </c>
      <c r="M54" t="s">
        <v>39</v>
      </c>
      <c r="N54">
        <v>0</v>
      </c>
      <c r="O54">
        <v>16.32999999999975</v>
      </c>
      <c r="P54" t="b">
        <v>1</v>
      </c>
      <c r="Q54">
        <v>0</v>
      </c>
      <c r="R54" t="b">
        <v>1</v>
      </c>
      <c r="S54">
        <v>9.7E-5</v>
      </c>
      <c r="T54" t="b">
        <v>1</v>
      </c>
      <c r="U54" t="b">
        <v>1</v>
      </c>
      <c r="V54">
        <v>6634098.6873836201</v>
      </c>
      <c r="W54">
        <v>8291963.6351000424</v>
      </c>
      <c r="AE54" t="b">
        <v>0</v>
      </c>
      <c r="AF54" t="b">
        <v>0</v>
      </c>
      <c r="AG54">
        <v>5</v>
      </c>
      <c r="AH54">
        <v>41</v>
      </c>
      <c r="AI54">
        <v>-24.614000000000001</v>
      </c>
      <c r="AJ54">
        <v>-16.370999999999999</v>
      </c>
    </row>
    <row r="55" spans="1:36" x14ac:dyDescent="0.25">
      <c r="A55">
        <v>54</v>
      </c>
      <c r="B55" t="s">
        <v>36</v>
      </c>
      <c r="C55" t="s">
        <v>44</v>
      </c>
      <c r="D55">
        <v>8.8757837400423387</v>
      </c>
      <c r="E55">
        <v>0.8</v>
      </c>
      <c r="F55">
        <v>0.02</v>
      </c>
      <c r="G55">
        <v>7850</v>
      </c>
      <c r="H55">
        <v>4.9008845396000783E-2</v>
      </c>
      <c r="I55">
        <v>3414.6865177099689</v>
      </c>
      <c r="J55" t="s">
        <v>38</v>
      </c>
      <c r="K55" t="s">
        <v>39</v>
      </c>
      <c r="L55" t="s">
        <v>38</v>
      </c>
      <c r="M55" t="s">
        <v>39</v>
      </c>
      <c r="N55">
        <v>0</v>
      </c>
      <c r="O55">
        <v>16.719999999999811</v>
      </c>
      <c r="P55" t="b">
        <v>1</v>
      </c>
      <c r="Q55">
        <v>0</v>
      </c>
      <c r="R55" t="b">
        <v>1</v>
      </c>
      <c r="S55">
        <v>4.0000000000000003E-5</v>
      </c>
      <c r="T55" t="b">
        <v>1</v>
      </c>
      <c r="U55" t="b">
        <v>1</v>
      </c>
      <c r="V55">
        <v>6901187.6870708792</v>
      </c>
      <c r="W55">
        <v>8291963.6351000424</v>
      </c>
      <c r="AE55" t="b">
        <v>0</v>
      </c>
      <c r="AF55" t="b">
        <v>0</v>
      </c>
      <c r="AG55">
        <v>41</v>
      </c>
      <c r="AH55">
        <v>33</v>
      </c>
      <c r="AI55">
        <v>-16.370999999999999</v>
      </c>
      <c r="AJ55">
        <v>-8.9220000000000006</v>
      </c>
    </row>
    <row r="56" spans="1:36" x14ac:dyDescent="0.25">
      <c r="A56">
        <v>55</v>
      </c>
      <c r="B56" t="s">
        <v>36</v>
      </c>
      <c r="C56" t="s">
        <v>44</v>
      </c>
      <c r="D56">
        <v>9.8214204166199934</v>
      </c>
      <c r="E56">
        <v>0.8</v>
      </c>
      <c r="F56">
        <v>0.02</v>
      </c>
      <c r="G56">
        <v>7850</v>
      </c>
      <c r="H56">
        <v>4.9008845396000783E-2</v>
      </c>
      <c r="I56">
        <v>3778.4913269229501</v>
      </c>
      <c r="J56" t="s">
        <v>38</v>
      </c>
      <c r="K56" t="s">
        <v>39</v>
      </c>
      <c r="L56" t="s">
        <v>38</v>
      </c>
      <c r="M56" t="s">
        <v>39</v>
      </c>
      <c r="N56">
        <v>0</v>
      </c>
      <c r="O56">
        <v>16.17999999999973</v>
      </c>
      <c r="P56" t="b">
        <v>1</v>
      </c>
      <c r="Q56">
        <v>0</v>
      </c>
      <c r="R56" t="b">
        <v>1</v>
      </c>
      <c r="S56">
        <v>9.1000000000000003E-5</v>
      </c>
      <c r="T56" t="b">
        <v>1</v>
      </c>
      <c r="U56" t="b">
        <v>1</v>
      </c>
      <c r="V56">
        <v>6634098.6873836201</v>
      </c>
      <c r="W56">
        <v>8291963.6351000424</v>
      </c>
      <c r="AE56" t="b">
        <v>0</v>
      </c>
      <c r="AF56" t="b">
        <v>0</v>
      </c>
      <c r="AG56">
        <v>20</v>
      </c>
      <c r="AH56">
        <v>41</v>
      </c>
      <c r="AI56">
        <v>-24.614000000000001</v>
      </c>
      <c r="AJ56">
        <v>-16.370999999999999</v>
      </c>
    </row>
    <row r="57" spans="1:36" x14ac:dyDescent="0.25">
      <c r="A57">
        <v>56</v>
      </c>
      <c r="B57" t="s">
        <v>36</v>
      </c>
      <c r="C57" t="s">
        <v>44</v>
      </c>
      <c r="D57">
        <v>8.8757837400423387</v>
      </c>
      <c r="E57">
        <v>0.8</v>
      </c>
      <c r="F57">
        <v>0.02</v>
      </c>
      <c r="G57">
        <v>7850</v>
      </c>
      <c r="H57">
        <v>4.9008845396000783E-2</v>
      </c>
      <c r="I57">
        <v>3414.6865177099689</v>
      </c>
      <c r="J57" t="s">
        <v>38</v>
      </c>
      <c r="K57" t="s">
        <v>39</v>
      </c>
      <c r="L57" t="s">
        <v>38</v>
      </c>
      <c r="M57" t="s">
        <v>39</v>
      </c>
      <c r="N57">
        <v>0</v>
      </c>
      <c r="O57">
        <v>16.569999999999791</v>
      </c>
      <c r="P57" t="b">
        <v>1</v>
      </c>
      <c r="Q57">
        <v>0</v>
      </c>
      <c r="R57" t="b">
        <v>1</v>
      </c>
      <c r="S57">
        <v>4.0000000000000003E-5</v>
      </c>
      <c r="T57" t="b">
        <v>1</v>
      </c>
      <c r="U57" t="b">
        <v>1</v>
      </c>
      <c r="V57">
        <v>6901187.6870708792</v>
      </c>
      <c r="W57">
        <v>8291963.6351000424</v>
      </c>
      <c r="AE57" t="b">
        <v>0</v>
      </c>
      <c r="AF57" t="b">
        <v>0</v>
      </c>
      <c r="AG57">
        <v>41</v>
      </c>
      <c r="AH57">
        <v>21</v>
      </c>
      <c r="AI57">
        <v>-16.370999999999999</v>
      </c>
      <c r="AJ57">
        <v>-8.9220000000000006</v>
      </c>
    </row>
    <row r="58" spans="1:36" x14ac:dyDescent="0.25">
      <c r="A58">
        <v>57</v>
      </c>
      <c r="B58" t="s">
        <v>36</v>
      </c>
      <c r="C58" t="s">
        <v>44</v>
      </c>
      <c r="D58">
        <v>9.8214204166199934</v>
      </c>
      <c r="E58">
        <v>0.8</v>
      </c>
      <c r="F58">
        <v>0.02</v>
      </c>
      <c r="G58">
        <v>7850</v>
      </c>
      <c r="H58">
        <v>4.9008845396000783E-2</v>
      </c>
      <c r="I58">
        <v>3778.4913269229501</v>
      </c>
      <c r="J58" t="s">
        <v>38</v>
      </c>
      <c r="K58" t="s">
        <v>39</v>
      </c>
      <c r="L58" t="s">
        <v>38</v>
      </c>
      <c r="M58" t="s">
        <v>39</v>
      </c>
      <c r="N58">
        <v>0</v>
      </c>
      <c r="O58">
        <v>16.089999999999719</v>
      </c>
      <c r="P58" t="b">
        <v>1</v>
      </c>
      <c r="Q58">
        <v>0</v>
      </c>
      <c r="R58" t="b">
        <v>1</v>
      </c>
      <c r="S58">
        <v>9.5000000000000005E-5</v>
      </c>
      <c r="T58" t="b">
        <v>1</v>
      </c>
      <c r="U58" t="b">
        <v>1</v>
      </c>
      <c r="V58">
        <v>6634098.6873836201</v>
      </c>
      <c r="W58">
        <v>8291963.6351000424</v>
      </c>
      <c r="AE58" t="b">
        <v>0</v>
      </c>
      <c r="AF58" t="b">
        <v>0</v>
      </c>
      <c r="AG58">
        <v>10</v>
      </c>
      <c r="AH58">
        <v>42</v>
      </c>
      <c r="AI58">
        <v>-24.614000000000001</v>
      </c>
      <c r="AJ58">
        <v>-16.370999999999999</v>
      </c>
    </row>
    <row r="59" spans="1:36" x14ac:dyDescent="0.25">
      <c r="A59">
        <v>58</v>
      </c>
      <c r="B59" t="s">
        <v>36</v>
      </c>
      <c r="C59" t="s">
        <v>44</v>
      </c>
      <c r="D59">
        <v>8.8757837400423387</v>
      </c>
      <c r="E59">
        <v>0.8</v>
      </c>
      <c r="F59">
        <v>0.02</v>
      </c>
      <c r="G59">
        <v>7850</v>
      </c>
      <c r="H59">
        <v>4.9008845396000783E-2</v>
      </c>
      <c r="I59">
        <v>3414.6865177099689</v>
      </c>
      <c r="J59" t="s">
        <v>38</v>
      </c>
      <c r="K59" t="s">
        <v>39</v>
      </c>
      <c r="L59" t="s">
        <v>38</v>
      </c>
      <c r="M59" t="s">
        <v>39</v>
      </c>
      <c r="N59">
        <v>0</v>
      </c>
      <c r="O59">
        <v>16.489999999999782</v>
      </c>
      <c r="P59" t="b">
        <v>1</v>
      </c>
      <c r="Q59">
        <v>0</v>
      </c>
      <c r="R59" t="b">
        <v>1</v>
      </c>
      <c r="S59">
        <v>3.8000000000000002E-5</v>
      </c>
      <c r="T59" t="b">
        <v>1</v>
      </c>
      <c r="U59" t="b">
        <v>1</v>
      </c>
      <c r="V59">
        <v>6901187.6870708792</v>
      </c>
      <c r="W59">
        <v>8291963.6351000424</v>
      </c>
      <c r="AE59" t="b">
        <v>0</v>
      </c>
      <c r="AF59" t="b">
        <v>0</v>
      </c>
      <c r="AG59">
        <v>42</v>
      </c>
      <c r="AH59">
        <v>29</v>
      </c>
      <c r="AI59">
        <v>-16.370999999999999</v>
      </c>
      <c r="AJ59">
        <v>-8.9220000000000006</v>
      </c>
    </row>
    <row r="60" spans="1:36" x14ac:dyDescent="0.25">
      <c r="A60">
        <v>59</v>
      </c>
      <c r="B60" t="s">
        <v>36</v>
      </c>
      <c r="C60" t="s">
        <v>44</v>
      </c>
      <c r="D60">
        <v>9.8214204166199934</v>
      </c>
      <c r="E60">
        <v>0.8</v>
      </c>
      <c r="F60">
        <v>0.02</v>
      </c>
      <c r="G60">
        <v>7850</v>
      </c>
      <c r="H60">
        <v>4.9008845396000783E-2</v>
      </c>
      <c r="I60">
        <v>3778.4913269229501</v>
      </c>
      <c r="J60" t="s">
        <v>38</v>
      </c>
      <c r="K60" t="s">
        <v>39</v>
      </c>
      <c r="L60" t="s">
        <v>38</v>
      </c>
      <c r="M60" t="s">
        <v>39</v>
      </c>
      <c r="N60">
        <v>0</v>
      </c>
      <c r="O60">
        <v>16.30999999999975</v>
      </c>
      <c r="P60" t="b">
        <v>1</v>
      </c>
      <c r="Q60">
        <v>0</v>
      </c>
      <c r="R60" t="b">
        <v>1</v>
      </c>
      <c r="S60">
        <v>9.1000000000000003E-5</v>
      </c>
      <c r="T60" t="b">
        <v>1</v>
      </c>
      <c r="U60" t="b">
        <v>1</v>
      </c>
      <c r="V60">
        <v>6634098.6873836201</v>
      </c>
      <c r="W60">
        <v>8291963.6351000424</v>
      </c>
      <c r="AE60" t="b">
        <v>0</v>
      </c>
      <c r="AF60" t="b">
        <v>0</v>
      </c>
      <c r="AG60">
        <v>15</v>
      </c>
      <c r="AH60">
        <v>42</v>
      </c>
      <c r="AI60">
        <v>-24.614000000000001</v>
      </c>
      <c r="AJ60">
        <v>-16.370999999999999</v>
      </c>
    </row>
    <row r="61" spans="1:36" x14ac:dyDescent="0.25">
      <c r="A61">
        <v>60</v>
      </c>
      <c r="B61" t="s">
        <v>36</v>
      </c>
      <c r="C61" t="s">
        <v>44</v>
      </c>
      <c r="D61">
        <v>8.8757837400423387</v>
      </c>
      <c r="E61">
        <v>0.8</v>
      </c>
      <c r="F61">
        <v>0.02</v>
      </c>
      <c r="G61">
        <v>7850</v>
      </c>
      <c r="H61">
        <v>4.9008845396000783E-2</v>
      </c>
      <c r="I61">
        <v>3414.6865177099689</v>
      </c>
      <c r="J61" t="s">
        <v>38</v>
      </c>
      <c r="K61" t="s">
        <v>39</v>
      </c>
      <c r="L61" t="s">
        <v>38</v>
      </c>
      <c r="M61" t="s">
        <v>39</v>
      </c>
      <c r="N61">
        <v>0</v>
      </c>
      <c r="O61">
        <v>16.729999999999819</v>
      </c>
      <c r="P61" t="b">
        <v>1</v>
      </c>
      <c r="Q61">
        <v>0</v>
      </c>
      <c r="R61" t="b">
        <v>1</v>
      </c>
      <c r="S61">
        <v>4.1999999999999998E-5</v>
      </c>
      <c r="T61" t="b">
        <v>1</v>
      </c>
      <c r="U61" t="b">
        <v>1</v>
      </c>
      <c r="V61">
        <v>6901187.6870708792</v>
      </c>
      <c r="W61">
        <v>8291963.6351000424</v>
      </c>
      <c r="AE61" t="b">
        <v>0</v>
      </c>
      <c r="AF61" t="b">
        <v>0</v>
      </c>
      <c r="AG61">
        <v>42</v>
      </c>
      <c r="AH61">
        <v>25</v>
      </c>
      <c r="AI61">
        <v>-16.370999999999999</v>
      </c>
      <c r="AJ61">
        <v>-8.9220000000000006</v>
      </c>
    </row>
    <row r="62" spans="1:36" x14ac:dyDescent="0.25">
      <c r="A62">
        <v>61</v>
      </c>
      <c r="B62" t="s">
        <v>36</v>
      </c>
      <c r="C62" t="s">
        <v>44</v>
      </c>
      <c r="D62">
        <v>9.8214204166199934</v>
      </c>
      <c r="E62">
        <v>0.8</v>
      </c>
      <c r="F62">
        <v>0.02</v>
      </c>
      <c r="G62">
        <v>7850</v>
      </c>
      <c r="H62">
        <v>4.9008845396000783E-2</v>
      </c>
      <c r="I62">
        <v>3778.4913269229501</v>
      </c>
      <c r="J62" t="s">
        <v>38</v>
      </c>
      <c r="K62" t="s">
        <v>39</v>
      </c>
      <c r="L62" t="s">
        <v>38</v>
      </c>
      <c r="M62" t="s">
        <v>39</v>
      </c>
      <c r="N62">
        <v>0</v>
      </c>
      <c r="O62">
        <v>14.719999999999731</v>
      </c>
      <c r="P62" t="b">
        <v>1</v>
      </c>
      <c r="Q62">
        <v>0</v>
      </c>
      <c r="R62" t="b">
        <v>1</v>
      </c>
      <c r="S62">
        <v>3.4200000000000002E-4</v>
      </c>
      <c r="T62" t="b">
        <v>1</v>
      </c>
      <c r="U62" t="b">
        <v>1</v>
      </c>
      <c r="V62">
        <v>6634098.6873836201</v>
      </c>
      <c r="W62">
        <v>8291963.6351000424</v>
      </c>
      <c r="AE62" t="b">
        <v>0</v>
      </c>
      <c r="AF62" t="b">
        <v>0</v>
      </c>
      <c r="AG62">
        <v>5</v>
      </c>
      <c r="AH62">
        <v>43</v>
      </c>
      <c r="AI62">
        <v>-24.614000000000001</v>
      </c>
      <c r="AJ62">
        <v>-16.370999999999999</v>
      </c>
    </row>
    <row r="63" spans="1:36" x14ac:dyDescent="0.25">
      <c r="A63">
        <v>62</v>
      </c>
      <c r="B63" t="s">
        <v>36</v>
      </c>
      <c r="C63" t="s">
        <v>44</v>
      </c>
      <c r="D63">
        <v>8.8757837400423387</v>
      </c>
      <c r="E63">
        <v>0.8</v>
      </c>
      <c r="F63">
        <v>0.02</v>
      </c>
      <c r="G63">
        <v>7850</v>
      </c>
      <c r="H63">
        <v>4.9008845396000783E-2</v>
      </c>
      <c r="I63">
        <v>3414.6865177099689</v>
      </c>
      <c r="J63" t="s">
        <v>38</v>
      </c>
      <c r="K63" t="s">
        <v>39</v>
      </c>
      <c r="L63" t="s">
        <v>38</v>
      </c>
      <c r="M63" t="s">
        <v>39</v>
      </c>
      <c r="N63">
        <v>0</v>
      </c>
      <c r="O63">
        <v>15.189999999999721</v>
      </c>
      <c r="P63" t="b">
        <v>1</v>
      </c>
      <c r="Q63">
        <v>0</v>
      </c>
      <c r="R63" t="b">
        <v>1</v>
      </c>
      <c r="S63">
        <v>2.8200000000000002E-4</v>
      </c>
      <c r="T63" t="b">
        <v>1</v>
      </c>
      <c r="U63" t="b">
        <v>1</v>
      </c>
      <c r="V63">
        <v>6901187.6870708792</v>
      </c>
      <c r="W63">
        <v>8291963.6351000424</v>
      </c>
      <c r="AE63" t="b">
        <v>0</v>
      </c>
      <c r="AF63" t="b">
        <v>0</v>
      </c>
      <c r="AG63">
        <v>43</v>
      </c>
      <c r="AH63">
        <v>25</v>
      </c>
      <c r="AI63">
        <v>-16.370999999999999</v>
      </c>
      <c r="AJ63">
        <v>-8.9220000000000006</v>
      </c>
    </row>
    <row r="64" spans="1:36" x14ac:dyDescent="0.25">
      <c r="A64">
        <v>63</v>
      </c>
      <c r="B64" t="s">
        <v>36</v>
      </c>
      <c r="C64" t="s">
        <v>44</v>
      </c>
      <c r="D64">
        <v>9.8214204166199934</v>
      </c>
      <c r="E64">
        <v>0.8</v>
      </c>
      <c r="F64">
        <v>0.02</v>
      </c>
      <c r="G64">
        <v>7850</v>
      </c>
      <c r="H64">
        <v>4.9008845396000783E-2</v>
      </c>
      <c r="I64">
        <v>3778.4913269229501</v>
      </c>
      <c r="J64" t="s">
        <v>38</v>
      </c>
      <c r="K64" t="s">
        <v>39</v>
      </c>
      <c r="L64" t="s">
        <v>38</v>
      </c>
      <c r="M64" t="s">
        <v>39</v>
      </c>
      <c r="N64">
        <v>0</v>
      </c>
      <c r="O64">
        <v>15.78999999999971</v>
      </c>
      <c r="P64" t="b">
        <v>1</v>
      </c>
      <c r="Q64">
        <v>0</v>
      </c>
      <c r="R64" t="b">
        <v>1</v>
      </c>
      <c r="S64">
        <v>3.8200000000000002E-4</v>
      </c>
      <c r="T64" t="b">
        <v>1</v>
      </c>
      <c r="U64" t="b">
        <v>1</v>
      </c>
      <c r="V64">
        <v>6634098.6873836201</v>
      </c>
      <c r="W64">
        <v>8291963.6351000424</v>
      </c>
      <c r="AE64" t="b">
        <v>0</v>
      </c>
      <c r="AF64" t="b">
        <v>0</v>
      </c>
      <c r="AG64">
        <v>10</v>
      </c>
      <c r="AH64">
        <v>43</v>
      </c>
      <c r="AI64">
        <v>-24.614000000000001</v>
      </c>
      <c r="AJ64">
        <v>-16.370999999999999</v>
      </c>
    </row>
    <row r="65" spans="1:36" x14ac:dyDescent="0.25">
      <c r="A65">
        <v>64</v>
      </c>
      <c r="B65" t="s">
        <v>36</v>
      </c>
      <c r="C65" t="s">
        <v>44</v>
      </c>
      <c r="D65">
        <v>8.8757837400423387</v>
      </c>
      <c r="E65">
        <v>0.8</v>
      </c>
      <c r="F65">
        <v>0.02</v>
      </c>
      <c r="G65">
        <v>7850</v>
      </c>
      <c r="H65">
        <v>4.9008845396000783E-2</v>
      </c>
      <c r="I65">
        <v>3414.6865177099689</v>
      </c>
      <c r="J65" t="s">
        <v>38</v>
      </c>
      <c r="K65" t="s">
        <v>39</v>
      </c>
      <c r="L65" t="s">
        <v>38</v>
      </c>
      <c r="M65" t="s">
        <v>39</v>
      </c>
      <c r="N65">
        <v>0</v>
      </c>
      <c r="O65">
        <v>16.129999999999718</v>
      </c>
      <c r="P65" t="b">
        <v>1</v>
      </c>
      <c r="Q65">
        <v>0</v>
      </c>
      <c r="R65" t="b">
        <v>1</v>
      </c>
      <c r="S65">
        <v>2.61E-4</v>
      </c>
      <c r="T65" t="b">
        <v>1</v>
      </c>
      <c r="U65" t="b">
        <v>1</v>
      </c>
      <c r="V65">
        <v>6901187.6870708792</v>
      </c>
      <c r="W65">
        <v>8291963.6351000424</v>
      </c>
      <c r="AE65" t="b">
        <v>0</v>
      </c>
      <c r="AF65" t="b">
        <v>0</v>
      </c>
      <c r="AG65">
        <v>43</v>
      </c>
      <c r="AH65">
        <v>21</v>
      </c>
      <c r="AI65">
        <v>-16.370999999999999</v>
      </c>
      <c r="AJ65">
        <v>-8.9220000000000006</v>
      </c>
    </row>
    <row r="66" spans="1:36" x14ac:dyDescent="0.25">
      <c r="A66">
        <v>65</v>
      </c>
      <c r="B66" t="s">
        <v>36</v>
      </c>
      <c r="C66" t="s">
        <v>44</v>
      </c>
      <c r="D66">
        <v>9.8214204166199934</v>
      </c>
      <c r="E66">
        <v>0.8</v>
      </c>
      <c r="F66">
        <v>0.02</v>
      </c>
      <c r="G66">
        <v>7850</v>
      </c>
      <c r="H66">
        <v>4.9008845396000783E-2</v>
      </c>
      <c r="I66">
        <v>3778.4913269229501</v>
      </c>
      <c r="J66" t="s">
        <v>38</v>
      </c>
      <c r="K66" t="s">
        <v>39</v>
      </c>
      <c r="L66" t="s">
        <v>38</v>
      </c>
      <c r="M66" t="s">
        <v>39</v>
      </c>
      <c r="N66">
        <v>0</v>
      </c>
      <c r="O66">
        <v>15.429999999999721</v>
      </c>
      <c r="P66" t="b">
        <v>1</v>
      </c>
      <c r="Q66">
        <v>0</v>
      </c>
      <c r="R66" t="b">
        <v>1</v>
      </c>
      <c r="S66">
        <v>3.3100000000000002E-4</v>
      </c>
      <c r="T66" t="b">
        <v>1</v>
      </c>
      <c r="U66" t="b">
        <v>1</v>
      </c>
      <c r="V66">
        <v>6634098.6873836201</v>
      </c>
      <c r="W66">
        <v>8291963.6351000424</v>
      </c>
      <c r="AE66" t="b">
        <v>0</v>
      </c>
      <c r="AF66" t="b">
        <v>0</v>
      </c>
      <c r="AG66">
        <v>20</v>
      </c>
      <c r="AH66">
        <v>44</v>
      </c>
      <c r="AI66">
        <v>-24.614000000000001</v>
      </c>
      <c r="AJ66">
        <v>-16.370999999999999</v>
      </c>
    </row>
    <row r="67" spans="1:36" x14ac:dyDescent="0.25">
      <c r="A67">
        <v>66</v>
      </c>
      <c r="B67" t="s">
        <v>36</v>
      </c>
      <c r="C67" t="s">
        <v>44</v>
      </c>
      <c r="D67">
        <v>8.8757837400423387</v>
      </c>
      <c r="E67">
        <v>0.8</v>
      </c>
      <c r="F67">
        <v>0.02</v>
      </c>
      <c r="G67">
        <v>7850</v>
      </c>
      <c r="H67">
        <v>4.9008845396000783E-2</v>
      </c>
      <c r="I67">
        <v>3414.6865177099689</v>
      </c>
      <c r="J67" t="s">
        <v>38</v>
      </c>
      <c r="K67" t="s">
        <v>39</v>
      </c>
      <c r="L67" t="s">
        <v>38</v>
      </c>
      <c r="M67" t="s">
        <v>39</v>
      </c>
      <c r="N67">
        <v>0</v>
      </c>
      <c r="O67">
        <v>15.85999999999971</v>
      </c>
      <c r="P67" t="b">
        <v>1</v>
      </c>
      <c r="Q67">
        <v>0</v>
      </c>
      <c r="R67" t="b">
        <v>1</v>
      </c>
      <c r="S67">
        <v>2.1900000000000001E-4</v>
      </c>
      <c r="T67" t="b">
        <v>1</v>
      </c>
      <c r="U67" t="b">
        <v>1</v>
      </c>
      <c r="V67">
        <v>6901187.6870708792</v>
      </c>
      <c r="W67">
        <v>8291963.6351000424</v>
      </c>
      <c r="AE67" t="b">
        <v>0</v>
      </c>
      <c r="AF67" t="b">
        <v>0</v>
      </c>
      <c r="AG67">
        <v>44</v>
      </c>
      <c r="AH67">
        <v>29</v>
      </c>
      <c r="AI67">
        <v>-16.370999999999999</v>
      </c>
      <c r="AJ67">
        <v>-8.9220000000000006</v>
      </c>
    </row>
    <row r="68" spans="1:36" x14ac:dyDescent="0.25">
      <c r="A68">
        <v>67</v>
      </c>
      <c r="B68" t="s">
        <v>36</v>
      </c>
      <c r="C68" t="s">
        <v>44</v>
      </c>
      <c r="D68">
        <v>9.8214204166199934</v>
      </c>
      <c r="E68">
        <v>0.8</v>
      </c>
      <c r="F68">
        <v>0.02</v>
      </c>
      <c r="G68">
        <v>7850</v>
      </c>
      <c r="H68">
        <v>4.9008845396000783E-2</v>
      </c>
      <c r="I68">
        <v>3778.4913269229501</v>
      </c>
      <c r="J68" t="s">
        <v>38</v>
      </c>
      <c r="K68" t="s">
        <v>39</v>
      </c>
      <c r="L68" t="s">
        <v>38</v>
      </c>
      <c r="M68" t="s">
        <v>39</v>
      </c>
      <c r="N68">
        <v>0</v>
      </c>
      <c r="O68">
        <v>15.68999999999971</v>
      </c>
      <c r="P68" t="b">
        <v>1</v>
      </c>
      <c r="Q68">
        <v>0</v>
      </c>
      <c r="R68" t="b">
        <v>1</v>
      </c>
      <c r="S68">
        <v>2.9399999999999999E-4</v>
      </c>
      <c r="T68" t="b">
        <v>1</v>
      </c>
      <c r="U68" t="b">
        <v>1</v>
      </c>
      <c r="V68">
        <v>6634098.6873836201</v>
      </c>
      <c r="W68">
        <v>8291963.6351000424</v>
      </c>
      <c r="AE68" t="b">
        <v>0</v>
      </c>
      <c r="AF68" t="b">
        <v>0</v>
      </c>
      <c r="AG68">
        <v>15</v>
      </c>
      <c r="AH68">
        <v>44</v>
      </c>
      <c r="AI68">
        <v>-24.614000000000001</v>
      </c>
      <c r="AJ68">
        <v>-16.370999999999999</v>
      </c>
    </row>
    <row r="69" spans="1:36" x14ac:dyDescent="0.25">
      <c r="A69">
        <v>68</v>
      </c>
      <c r="B69" t="s">
        <v>36</v>
      </c>
      <c r="C69" t="s">
        <v>44</v>
      </c>
      <c r="D69">
        <v>8.8757837400423387</v>
      </c>
      <c r="E69">
        <v>0.8</v>
      </c>
      <c r="F69">
        <v>0.02</v>
      </c>
      <c r="G69">
        <v>7850</v>
      </c>
      <c r="H69">
        <v>4.9008845396000783E-2</v>
      </c>
      <c r="I69">
        <v>3414.6865177099689</v>
      </c>
      <c r="J69" t="s">
        <v>38</v>
      </c>
      <c r="K69" t="s">
        <v>39</v>
      </c>
      <c r="L69" t="s">
        <v>38</v>
      </c>
      <c r="M69" t="s">
        <v>39</v>
      </c>
      <c r="N69">
        <v>0</v>
      </c>
      <c r="O69">
        <v>16.019999999999701</v>
      </c>
      <c r="P69" t="b">
        <v>1</v>
      </c>
      <c r="Q69">
        <v>0</v>
      </c>
      <c r="R69" t="b">
        <v>1</v>
      </c>
      <c r="S69">
        <v>2.42E-4</v>
      </c>
      <c r="T69" t="b">
        <v>1</v>
      </c>
      <c r="U69" t="b">
        <v>1</v>
      </c>
      <c r="V69">
        <v>6901187.6870708792</v>
      </c>
      <c r="W69">
        <v>8291963.6351000424</v>
      </c>
      <c r="AE69" t="b">
        <v>0</v>
      </c>
      <c r="AF69" t="b">
        <v>0</v>
      </c>
      <c r="AG69">
        <v>44</v>
      </c>
      <c r="AH69">
        <v>33</v>
      </c>
      <c r="AI69">
        <v>-16.370999999999999</v>
      </c>
      <c r="AJ69">
        <v>-8.9220000000000006</v>
      </c>
    </row>
    <row r="70" spans="1:36" x14ac:dyDescent="0.25">
      <c r="A70">
        <v>69</v>
      </c>
      <c r="B70" t="s">
        <v>40</v>
      </c>
      <c r="C70" t="s">
        <v>44</v>
      </c>
      <c r="D70">
        <v>8.4724069779490652</v>
      </c>
      <c r="E70">
        <v>0.8</v>
      </c>
      <c r="F70">
        <v>0.02</v>
      </c>
      <c r="G70">
        <v>7850</v>
      </c>
      <c r="H70">
        <v>4.9008845396000783E-2</v>
      </c>
      <c r="I70">
        <v>3259.4996371572861</v>
      </c>
      <c r="J70" t="s">
        <v>41</v>
      </c>
      <c r="K70" t="s">
        <v>42</v>
      </c>
      <c r="L70" t="s">
        <v>41</v>
      </c>
      <c r="M70" t="s">
        <v>42</v>
      </c>
      <c r="N70">
        <v>7.5</v>
      </c>
      <c r="O70">
        <v>17.219999999999889</v>
      </c>
      <c r="P70" t="b">
        <v>1</v>
      </c>
      <c r="Q70">
        <v>0.375</v>
      </c>
      <c r="R70" t="b">
        <v>0</v>
      </c>
      <c r="S70">
        <v>2.2332999999999999E-2</v>
      </c>
      <c r="T70" t="b">
        <v>1</v>
      </c>
      <c r="U70" t="b">
        <v>0</v>
      </c>
      <c r="V70">
        <v>7016012.8299225233</v>
      </c>
      <c r="W70">
        <v>8291963.6351000424</v>
      </c>
      <c r="X70">
        <v>2.2332999999999999E-2</v>
      </c>
      <c r="Y70" t="b">
        <v>1</v>
      </c>
      <c r="Z70">
        <v>7.5</v>
      </c>
      <c r="AA70">
        <v>17.219999999999889</v>
      </c>
      <c r="AB70" t="b">
        <v>1</v>
      </c>
      <c r="AC70" t="b">
        <v>1</v>
      </c>
      <c r="AE70" t="b">
        <v>0</v>
      </c>
      <c r="AF70" t="b">
        <v>0</v>
      </c>
      <c r="AG70">
        <v>21</v>
      </c>
      <c r="AH70">
        <v>45</v>
      </c>
      <c r="AI70">
        <v>-8.9220000000000006</v>
      </c>
      <c r="AJ70">
        <v>-1.958</v>
      </c>
    </row>
    <row r="71" spans="1:36" x14ac:dyDescent="0.25">
      <c r="A71">
        <v>70</v>
      </c>
      <c r="B71" t="s">
        <v>40</v>
      </c>
      <c r="C71" t="s">
        <v>44</v>
      </c>
      <c r="D71">
        <v>7.7081755299162724</v>
      </c>
      <c r="E71">
        <v>0.8</v>
      </c>
      <c r="F71">
        <v>0.02</v>
      </c>
      <c r="G71">
        <v>7850</v>
      </c>
      <c r="H71">
        <v>4.9008845396000783E-2</v>
      </c>
      <c r="I71">
        <v>2965.4849452225881</v>
      </c>
      <c r="J71" t="s">
        <v>41</v>
      </c>
      <c r="K71" t="s">
        <v>42</v>
      </c>
      <c r="L71" t="s">
        <v>41</v>
      </c>
      <c r="M71" t="s">
        <v>42</v>
      </c>
      <c r="N71">
        <v>7.5</v>
      </c>
      <c r="O71">
        <v>17.479999999999929</v>
      </c>
      <c r="P71" t="b">
        <v>1</v>
      </c>
      <c r="Q71">
        <v>0.375</v>
      </c>
      <c r="R71" t="b">
        <v>0</v>
      </c>
      <c r="S71">
        <v>2.6178E-2</v>
      </c>
      <c r="T71" t="b">
        <v>1</v>
      </c>
      <c r="U71" t="b">
        <v>0</v>
      </c>
      <c r="V71">
        <v>7235181.9055872113</v>
      </c>
      <c r="W71">
        <v>8291963.6351000424</v>
      </c>
      <c r="X71">
        <v>2.6178E-2</v>
      </c>
      <c r="Y71" t="b">
        <v>1</v>
      </c>
      <c r="Z71">
        <v>7.5</v>
      </c>
      <c r="AA71">
        <v>17.479999999999929</v>
      </c>
      <c r="AB71" t="b">
        <v>1</v>
      </c>
      <c r="AC71" t="b">
        <v>1</v>
      </c>
      <c r="AE71" t="b">
        <v>0</v>
      </c>
      <c r="AF71" t="b">
        <v>0</v>
      </c>
      <c r="AG71">
        <v>45</v>
      </c>
      <c r="AH71">
        <v>34</v>
      </c>
      <c r="AI71">
        <v>-1.958</v>
      </c>
      <c r="AJ71">
        <v>4.3780000000000001</v>
      </c>
    </row>
    <row r="72" spans="1:36" x14ac:dyDescent="0.25">
      <c r="A72">
        <v>71</v>
      </c>
      <c r="B72" t="s">
        <v>40</v>
      </c>
      <c r="C72" t="s">
        <v>44</v>
      </c>
      <c r="D72">
        <v>8.4724069779490652</v>
      </c>
      <c r="E72">
        <v>0.8</v>
      </c>
      <c r="F72">
        <v>0.02</v>
      </c>
      <c r="G72">
        <v>7850</v>
      </c>
      <c r="H72">
        <v>4.9008845396000783E-2</v>
      </c>
      <c r="I72">
        <v>3259.4996371572861</v>
      </c>
      <c r="J72" t="s">
        <v>41</v>
      </c>
      <c r="K72" t="s">
        <v>42</v>
      </c>
      <c r="L72" t="s">
        <v>41</v>
      </c>
      <c r="M72" t="s">
        <v>42</v>
      </c>
      <c r="N72">
        <v>7.5</v>
      </c>
      <c r="O72">
        <v>16.979999999999851</v>
      </c>
      <c r="P72" t="b">
        <v>1</v>
      </c>
      <c r="Q72">
        <v>0.375</v>
      </c>
      <c r="R72" t="b">
        <v>0</v>
      </c>
      <c r="S72">
        <v>2.5690000000000001E-2</v>
      </c>
      <c r="T72" t="b">
        <v>1</v>
      </c>
      <c r="U72" t="b">
        <v>0</v>
      </c>
      <c r="V72">
        <v>7016012.8299225233</v>
      </c>
      <c r="W72">
        <v>8291963.6351000424</v>
      </c>
      <c r="X72">
        <v>2.5690000000000001E-2</v>
      </c>
      <c r="Y72" t="b">
        <v>1</v>
      </c>
      <c r="Z72">
        <v>7.5</v>
      </c>
      <c r="AA72">
        <v>16.979999999999851</v>
      </c>
      <c r="AB72" t="b">
        <v>1</v>
      </c>
      <c r="AC72" t="b">
        <v>1</v>
      </c>
      <c r="AE72" t="b">
        <v>0</v>
      </c>
      <c r="AF72" t="b">
        <v>0</v>
      </c>
      <c r="AG72">
        <v>33</v>
      </c>
      <c r="AH72">
        <v>45</v>
      </c>
      <c r="AI72">
        <v>-8.9220000000000006</v>
      </c>
      <c r="AJ72">
        <v>-1.958</v>
      </c>
    </row>
    <row r="73" spans="1:36" x14ac:dyDescent="0.25">
      <c r="A73">
        <v>72</v>
      </c>
      <c r="B73" t="s">
        <v>40</v>
      </c>
      <c r="C73" t="s">
        <v>44</v>
      </c>
      <c r="D73">
        <v>7.7081755299162724</v>
      </c>
      <c r="E73">
        <v>0.8</v>
      </c>
      <c r="F73">
        <v>0.02</v>
      </c>
      <c r="G73">
        <v>7850</v>
      </c>
      <c r="H73">
        <v>4.9008845396000783E-2</v>
      </c>
      <c r="I73">
        <v>2965.4849452225881</v>
      </c>
      <c r="J73" t="s">
        <v>41</v>
      </c>
      <c r="K73" t="s">
        <v>42</v>
      </c>
      <c r="L73" t="s">
        <v>41</v>
      </c>
      <c r="M73" t="s">
        <v>42</v>
      </c>
      <c r="N73">
        <v>7.5</v>
      </c>
      <c r="O73">
        <v>17.329999999999909</v>
      </c>
      <c r="P73" t="b">
        <v>1</v>
      </c>
      <c r="Q73">
        <v>0.375</v>
      </c>
      <c r="R73" t="b">
        <v>0</v>
      </c>
      <c r="S73">
        <v>2.6914E-2</v>
      </c>
      <c r="T73" t="b">
        <v>1</v>
      </c>
      <c r="U73" t="b">
        <v>0</v>
      </c>
      <c r="V73">
        <v>7235181.9055872113</v>
      </c>
      <c r="W73">
        <v>8291963.6351000424</v>
      </c>
      <c r="X73">
        <v>2.6914E-2</v>
      </c>
      <c r="Y73" t="b">
        <v>1</v>
      </c>
      <c r="Z73">
        <v>7.5</v>
      </c>
      <c r="AA73">
        <v>17.329999999999909</v>
      </c>
      <c r="AB73" t="b">
        <v>1</v>
      </c>
      <c r="AC73" t="b">
        <v>1</v>
      </c>
      <c r="AE73" t="b">
        <v>0</v>
      </c>
      <c r="AF73" t="b">
        <v>0</v>
      </c>
      <c r="AG73">
        <v>45</v>
      </c>
      <c r="AH73">
        <v>22</v>
      </c>
      <c r="AI73">
        <v>-1.958</v>
      </c>
      <c r="AJ73">
        <v>4.3780000000000001</v>
      </c>
    </row>
    <row r="74" spans="1:36" x14ac:dyDescent="0.25">
      <c r="A74">
        <v>73</v>
      </c>
      <c r="B74" t="s">
        <v>40</v>
      </c>
      <c r="C74" t="s">
        <v>44</v>
      </c>
      <c r="D74">
        <v>8.4724069779490652</v>
      </c>
      <c r="E74">
        <v>0.8</v>
      </c>
      <c r="F74">
        <v>0.02</v>
      </c>
      <c r="G74">
        <v>7850</v>
      </c>
      <c r="H74">
        <v>4.9008845396000783E-2</v>
      </c>
      <c r="I74">
        <v>3259.4996371572861</v>
      </c>
      <c r="J74" t="s">
        <v>41</v>
      </c>
      <c r="K74" t="s">
        <v>42</v>
      </c>
      <c r="L74" t="s">
        <v>41</v>
      </c>
      <c r="M74" t="s">
        <v>42</v>
      </c>
      <c r="N74">
        <v>7.5</v>
      </c>
      <c r="O74">
        <v>16.929999999999851</v>
      </c>
      <c r="P74" t="b">
        <v>1</v>
      </c>
      <c r="Q74">
        <v>0.375</v>
      </c>
      <c r="R74" t="b">
        <v>0</v>
      </c>
      <c r="S74">
        <v>2.4649999999999998E-2</v>
      </c>
      <c r="T74" t="b">
        <v>1</v>
      </c>
      <c r="U74" t="b">
        <v>0</v>
      </c>
      <c r="V74">
        <v>7016012.8299225233</v>
      </c>
      <c r="W74">
        <v>8291963.6351000424</v>
      </c>
      <c r="X74">
        <v>2.4649999999999998E-2</v>
      </c>
      <c r="Y74" t="b">
        <v>1</v>
      </c>
      <c r="Z74">
        <v>7.5</v>
      </c>
      <c r="AA74">
        <v>16.929999999999851</v>
      </c>
      <c r="AB74" t="b">
        <v>1</v>
      </c>
      <c r="AC74" t="b">
        <v>1</v>
      </c>
      <c r="AE74" t="b">
        <v>0</v>
      </c>
      <c r="AF74" t="b">
        <v>0</v>
      </c>
      <c r="AG74">
        <v>25</v>
      </c>
      <c r="AH74">
        <v>46</v>
      </c>
      <c r="AI74">
        <v>-8.9220000000000006</v>
      </c>
      <c r="AJ74">
        <v>-1.958</v>
      </c>
    </row>
    <row r="75" spans="1:36" x14ac:dyDescent="0.25">
      <c r="A75">
        <v>74</v>
      </c>
      <c r="B75" t="s">
        <v>40</v>
      </c>
      <c r="C75" t="s">
        <v>44</v>
      </c>
      <c r="D75">
        <v>7.7081755299162724</v>
      </c>
      <c r="E75">
        <v>0.8</v>
      </c>
      <c r="F75">
        <v>0.02</v>
      </c>
      <c r="G75">
        <v>7850</v>
      </c>
      <c r="H75">
        <v>4.9008845396000783E-2</v>
      </c>
      <c r="I75">
        <v>2965.4849452225881</v>
      </c>
      <c r="J75" t="s">
        <v>41</v>
      </c>
      <c r="K75" t="s">
        <v>42</v>
      </c>
      <c r="L75" t="s">
        <v>41</v>
      </c>
      <c r="M75" t="s">
        <v>42</v>
      </c>
      <c r="N75">
        <v>7.5</v>
      </c>
      <c r="O75">
        <v>17.22999999999989</v>
      </c>
      <c r="P75" t="b">
        <v>1</v>
      </c>
      <c r="Q75">
        <v>0.375</v>
      </c>
      <c r="R75" t="b">
        <v>0</v>
      </c>
      <c r="S75">
        <v>2.7970999999999999E-2</v>
      </c>
      <c r="T75" t="b">
        <v>1</v>
      </c>
      <c r="U75" t="b">
        <v>0</v>
      </c>
      <c r="V75">
        <v>7235181.9055872113</v>
      </c>
      <c r="W75">
        <v>8291963.6351000424</v>
      </c>
      <c r="X75">
        <v>2.7970999999999999E-2</v>
      </c>
      <c r="Y75" t="b">
        <v>1</v>
      </c>
      <c r="Z75">
        <v>7.5</v>
      </c>
      <c r="AA75">
        <v>17.22999999999989</v>
      </c>
      <c r="AB75" t="b">
        <v>1</v>
      </c>
      <c r="AC75" t="b">
        <v>1</v>
      </c>
      <c r="AE75" t="b">
        <v>0</v>
      </c>
      <c r="AF75" t="b">
        <v>0</v>
      </c>
      <c r="AG75">
        <v>46</v>
      </c>
      <c r="AH75">
        <v>30</v>
      </c>
      <c r="AI75">
        <v>-1.958</v>
      </c>
      <c r="AJ75">
        <v>4.3780000000000001</v>
      </c>
    </row>
    <row r="76" spans="1:36" x14ac:dyDescent="0.25">
      <c r="A76">
        <v>75</v>
      </c>
      <c r="B76" t="s">
        <v>40</v>
      </c>
      <c r="C76" t="s">
        <v>44</v>
      </c>
      <c r="D76">
        <v>8.4724069779490652</v>
      </c>
      <c r="E76">
        <v>0.8</v>
      </c>
      <c r="F76">
        <v>0.02</v>
      </c>
      <c r="G76">
        <v>7850</v>
      </c>
      <c r="H76">
        <v>4.9008845396000783E-2</v>
      </c>
      <c r="I76">
        <v>3259.4996371572861</v>
      </c>
      <c r="J76" t="s">
        <v>41</v>
      </c>
      <c r="K76" t="s">
        <v>42</v>
      </c>
      <c r="L76" t="s">
        <v>41</v>
      </c>
      <c r="M76" t="s">
        <v>42</v>
      </c>
      <c r="N76">
        <v>7.5</v>
      </c>
      <c r="O76">
        <v>17.30999999999991</v>
      </c>
      <c r="P76" t="b">
        <v>1</v>
      </c>
      <c r="Q76">
        <v>0.375</v>
      </c>
      <c r="R76" t="b">
        <v>0</v>
      </c>
      <c r="S76">
        <v>2.4732000000000001E-2</v>
      </c>
      <c r="T76" t="b">
        <v>1</v>
      </c>
      <c r="U76" t="b">
        <v>0</v>
      </c>
      <c r="V76">
        <v>7016012.8299225233</v>
      </c>
      <c r="W76">
        <v>8291963.6351000424</v>
      </c>
      <c r="X76">
        <v>2.4732000000000001E-2</v>
      </c>
      <c r="Y76" t="b">
        <v>1</v>
      </c>
      <c r="Z76">
        <v>7.5</v>
      </c>
      <c r="AA76">
        <v>17.30999999999991</v>
      </c>
      <c r="AB76" t="b">
        <v>1</v>
      </c>
      <c r="AC76" t="b">
        <v>1</v>
      </c>
      <c r="AE76" t="b">
        <v>0</v>
      </c>
      <c r="AF76" t="b">
        <v>0</v>
      </c>
      <c r="AG76">
        <v>29</v>
      </c>
      <c r="AH76">
        <v>46</v>
      </c>
      <c r="AI76">
        <v>-8.9220000000000006</v>
      </c>
      <c r="AJ76">
        <v>-1.958</v>
      </c>
    </row>
    <row r="77" spans="1:36" x14ac:dyDescent="0.25">
      <c r="A77">
        <v>76</v>
      </c>
      <c r="B77" t="s">
        <v>40</v>
      </c>
      <c r="C77" t="s">
        <v>44</v>
      </c>
      <c r="D77">
        <v>7.7081755299162724</v>
      </c>
      <c r="E77">
        <v>0.8</v>
      </c>
      <c r="F77">
        <v>0.02</v>
      </c>
      <c r="G77">
        <v>7850</v>
      </c>
      <c r="H77">
        <v>4.9008845396000783E-2</v>
      </c>
      <c r="I77">
        <v>2965.4849452225881</v>
      </c>
      <c r="J77" t="s">
        <v>41</v>
      </c>
      <c r="K77" t="s">
        <v>42</v>
      </c>
      <c r="L77" t="s">
        <v>41</v>
      </c>
      <c r="M77" t="s">
        <v>42</v>
      </c>
      <c r="N77">
        <v>7.5</v>
      </c>
      <c r="O77">
        <v>17.339999999999911</v>
      </c>
      <c r="P77" t="b">
        <v>1</v>
      </c>
      <c r="Q77">
        <v>0.375</v>
      </c>
      <c r="R77" t="b">
        <v>0</v>
      </c>
      <c r="S77">
        <v>2.6561000000000001E-2</v>
      </c>
      <c r="T77" t="b">
        <v>1</v>
      </c>
      <c r="U77" t="b">
        <v>0</v>
      </c>
      <c r="V77">
        <v>7235181.9055872113</v>
      </c>
      <c r="W77">
        <v>8291963.6351000424</v>
      </c>
      <c r="X77">
        <v>2.6561000000000001E-2</v>
      </c>
      <c r="Y77" t="b">
        <v>1</v>
      </c>
      <c r="Z77">
        <v>7.5</v>
      </c>
      <c r="AA77">
        <v>17.339999999999911</v>
      </c>
      <c r="AB77" t="b">
        <v>1</v>
      </c>
      <c r="AC77" t="b">
        <v>1</v>
      </c>
      <c r="AE77" t="b">
        <v>0</v>
      </c>
      <c r="AF77" t="b">
        <v>0</v>
      </c>
      <c r="AG77">
        <v>46</v>
      </c>
      <c r="AH77">
        <v>26</v>
      </c>
      <c r="AI77">
        <v>-1.958</v>
      </c>
      <c r="AJ77">
        <v>4.3780000000000001</v>
      </c>
    </row>
    <row r="78" spans="1:36" x14ac:dyDescent="0.25">
      <c r="A78">
        <v>77</v>
      </c>
      <c r="B78" t="s">
        <v>40</v>
      </c>
      <c r="C78" t="s">
        <v>44</v>
      </c>
      <c r="D78">
        <v>8.4724069779490652</v>
      </c>
      <c r="E78">
        <v>0.8</v>
      </c>
      <c r="F78">
        <v>0.02</v>
      </c>
      <c r="G78">
        <v>7850</v>
      </c>
      <c r="H78">
        <v>4.9008845396000783E-2</v>
      </c>
      <c r="I78">
        <v>3259.4996371572861</v>
      </c>
      <c r="J78" t="s">
        <v>41</v>
      </c>
      <c r="K78" t="s">
        <v>42</v>
      </c>
      <c r="L78" t="s">
        <v>41</v>
      </c>
      <c r="M78" t="s">
        <v>42</v>
      </c>
      <c r="N78">
        <v>7.5</v>
      </c>
      <c r="O78">
        <v>16.149999999999729</v>
      </c>
      <c r="P78" t="b">
        <v>1</v>
      </c>
      <c r="Q78">
        <v>0.375</v>
      </c>
      <c r="R78" t="b">
        <v>0</v>
      </c>
      <c r="S78">
        <v>6.2964000000000006E-2</v>
      </c>
      <c r="T78" t="b">
        <v>0</v>
      </c>
      <c r="U78" t="b">
        <v>0</v>
      </c>
      <c r="V78">
        <v>7016012.8299225233</v>
      </c>
      <c r="W78">
        <v>8291963.6351000424</v>
      </c>
      <c r="X78">
        <v>6.2964000000000006E-2</v>
      </c>
      <c r="Y78" t="b">
        <v>1</v>
      </c>
      <c r="Z78">
        <v>7.5</v>
      </c>
      <c r="AA78">
        <v>16.149999999999729</v>
      </c>
      <c r="AB78" t="b">
        <v>1</v>
      </c>
      <c r="AC78" t="b">
        <v>1</v>
      </c>
      <c r="AE78" t="b">
        <v>0</v>
      </c>
      <c r="AF78" t="b">
        <v>0</v>
      </c>
      <c r="AG78">
        <v>21</v>
      </c>
      <c r="AH78">
        <v>47</v>
      </c>
      <c r="AI78">
        <v>-8.9220000000000006</v>
      </c>
      <c r="AJ78">
        <v>-1.958</v>
      </c>
    </row>
    <row r="79" spans="1:36" x14ac:dyDescent="0.25">
      <c r="A79">
        <v>78</v>
      </c>
      <c r="B79" t="s">
        <v>40</v>
      </c>
      <c r="C79" t="s">
        <v>44</v>
      </c>
      <c r="D79">
        <v>7.7081755299162724</v>
      </c>
      <c r="E79">
        <v>0.8</v>
      </c>
      <c r="F79">
        <v>0.02</v>
      </c>
      <c r="G79">
        <v>7850</v>
      </c>
      <c r="H79">
        <v>4.9008845396000783E-2</v>
      </c>
      <c r="I79">
        <v>2965.4849452225881</v>
      </c>
      <c r="J79" t="s">
        <v>41</v>
      </c>
      <c r="K79" t="s">
        <v>42</v>
      </c>
      <c r="L79" t="s">
        <v>41</v>
      </c>
      <c r="M79" t="s">
        <v>42</v>
      </c>
      <c r="N79">
        <v>7.5</v>
      </c>
      <c r="O79">
        <v>16.619999999999798</v>
      </c>
      <c r="P79" t="b">
        <v>1</v>
      </c>
      <c r="Q79">
        <v>0.375</v>
      </c>
      <c r="R79" t="b">
        <v>0</v>
      </c>
      <c r="S79">
        <v>6.1101000000000003E-2</v>
      </c>
      <c r="T79" t="b">
        <v>0</v>
      </c>
      <c r="U79" t="b">
        <v>0</v>
      </c>
      <c r="V79">
        <v>7235181.9055872113</v>
      </c>
      <c r="W79">
        <v>8291963.6351000424</v>
      </c>
      <c r="X79">
        <v>6.1101000000000003E-2</v>
      </c>
      <c r="Y79" t="b">
        <v>1</v>
      </c>
      <c r="Z79">
        <v>7.5</v>
      </c>
      <c r="AA79">
        <v>16.619999999999798</v>
      </c>
      <c r="AB79" t="b">
        <v>1</v>
      </c>
      <c r="AC79" t="b">
        <v>1</v>
      </c>
      <c r="AE79" t="b">
        <v>0</v>
      </c>
      <c r="AF79" t="b">
        <v>0</v>
      </c>
      <c r="AG79">
        <v>47</v>
      </c>
      <c r="AH79">
        <v>26</v>
      </c>
      <c r="AI79">
        <v>-1.958</v>
      </c>
      <c r="AJ79">
        <v>4.3780000000000001</v>
      </c>
    </row>
    <row r="80" spans="1:36" x14ac:dyDescent="0.25">
      <c r="A80">
        <v>79</v>
      </c>
      <c r="B80" t="s">
        <v>40</v>
      </c>
      <c r="C80" t="s">
        <v>44</v>
      </c>
      <c r="D80">
        <v>8.4724069779490652</v>
      </c>
      <c r="E80">
        <v>0.8</v>
      </c>
      <c r="F80">
        <v>0.02</v>
      </c>
      <c r="G80">
        <v>7850</v>
      </c>
      <c r="H80">
        <v>4.9008845396000783E-2</v>
      </c>
      <c r="I80">
        <v>3259.4996371572861</v>
      </c>
      <c r="J80" t="s">
        <v>41</v>
      </c>
      <c r="K80" t="s">
        <v>42</v>
      </c>
      <c r="L80" t="s">
        <v>41</v>
      </c>
      <c r="M80" t="s">
        <v>42</v>
      </c>
      <c r="N80">
        <v>7.5</v>
      </c>
      <c r="O80">
        <v>16.789999999999829</v>
      </c>
      <c r="P80" t="b">
        <v>1</v>
      </c>
      <c r="Q80">
        <v>0.375</v>
      </c>
      <c r="R80" t="b">
        <v>0</v>
      </c>
      <c r="S80">
        <v>6.5423999999999996E-2</v>
      </c>
      <c r="T80" t="b">
        <v>0</v>
      </c>
      <c r="U80" t="b">
        <v>0</v>
      </c>
      <c r="V80">
        <v>7016012.8299225233</v>
      </c>
      <c r="W80">
        <v>8291963.6351000424</v>
      </c>
      <c r="X80">
        <v>6.5423999999999996E-2</v>
      </c>
      <c r="Y80" t="b">
        <v>1</v>
      </c>
      <c r="Z80">
        <v>7.5</v>
      </c>
      <c r="AA80">
        <v>16.789999999999829</v>
      </c>
      <c r="AB80" t="b">
        <v>1</v>
      </c>
      <c r="AC80" t="b">
        <v>1</v>
      </c>
      <c r="AE80" t="b">
        <v>0</v>
      </c>
      <c r="AF80" t="b">
        <v>0</v>
      </c>
      <c r="AG80">
        <v>25</v>
      </c>
      <c r="AH80">
        <v>47</v>
      </c>
      <c r="AI80">
        <v>-8.9220000000000006</v>
      </c>
      <c r="AJ80">
        <v>-1.958</v>
      </c>
    </row>
    <row r="81" spans="1:36" x14ac:dyDescent="0.25">
      <c r="A81">
        <v>80</v>
      </c>
      <c r="B81" t="s">
        <v>40</v>
      </c>
      <c r="C81" t="s">
        <v>44</v>
      </c>
      <c r="D81">
        <v>7.7081755299162724</v>
      </c>
      <c r="E81">
        <v>0.8</v>
      </c>
      <c r="F81">
        <v>0.02</v>
      </c>
      <c r="G81">
        <v>7850</v>
      </c>
      <c r="H81">
        <v>4.9008845396000783E-2</v>
      </c>
      <c r="I81">
        <v>2965.4849452225881</v>
      </c>
      <c r="J81" t="s">
        <v>41</v>
      </c>
      <c r="K81" t="s">
        <v>42</v>
      </c>
      <c r="L81" t="s">
        <v>41</v>
      </c>
      <c r="M81" t="s">
        <v>42</v>
      </c>
      <c r="N81">
        <v>7.5</v>
      </c>
      <c r="O81">
        <v>16.829999999999831</v>
      </c>
      <c r="P81" t="b">
        <v>1</v>
      </c>
      <c r="Q81">
        <v>0.375</v>
      </c>
      <c r="R81" t="b">
        <v>0</v>
      </c>
      <c r="S81">
        <v>5.7630000000000001E-2</v>
      </c>
      <c r="T81" t="b">
        <v>0</v>
      </c>
      <c r="U81" t="b">
        <v>0</v>
      </c>
      <c r="V81">
        <v>7235181.9055872113</v>
      </c>
      <c r="W81">
        <v>8291963.6351000424</v>
      </c>
      <c r="X81">
        <v>5.7630000000000001E-2</v>
      </c>
      <c r="Y81" t="b">
        <v>1</v>
      </c>
      <c r="Z81">
        <v>7.5</v>
      </c>
      <c r="AA81">
        <v>16.829999999999831</v>
      </c>
      <c r="AB81" t="b">
        <v>1</v>
      </c>
      <c r="AC81" t="b">
        <v>1</v>
      </c>
      <c r="AE81" t="b">
        <v>0</v>
      </c>
      <c r="AF81" t="b">
        <v>0</v>
      </c>
      <c r="AG81">
        <v>47</v>
      </c>
      <c r="AH81">
        <v>22</v>
      </c>
      <c r="AI81">
        <v>-1.958</v>
      </c>
      <c r="AJ81">
        <v>4.3780000000000001</v>
      </c>
    </row>
    <row r="82" spans="1:36" x14ac:dyDescent="0.25">
      <c r="A82">
        <v>81</v>
      </c>
      <c r="B82" t="s">
        <v>40</v>
      </c>
      <c r="C82" t="s">
        <v>44</v>
      </c>
      <c r="D82">
        <v>8.4724069779490652</v>
      </c>
      <c r="E82">
        <v>0.8</v>
      </c>
      <c r="F82">
        <v>0.02</v>
      </c>
      <c r="G82">
        <v>7850</v>
      </c>
      <c r="H82">
        <v>4.9008845396000783E-2</v>
      </c>
      <c r="I82">
        <v>3259.4996371572861</v>
      </c>
      <c r="J82" t="s">
        <v>41</v>
      </c>
      <c r="K82" t="s">
        <v>42</v>
      </c>
      <c r="L82" t="s">
        <v>41</v>
      </c>
      <c r="M82" t="s">
        <v>42</v>
      </c>
      <c r="N82">
        <v>7.5</v>
      </c>
      <c r="O82">
        <v>16.45999999999977</v>
      </c>
      <c r="P82" t="b">
        <v>1</v>
      </c>
      <c r="Q82">
        <v>0.375</v>
      </c>
      <c r="R82" t="b">
        <v>0</v>
      </c>
      <c r="S82">
        <v>5.6440999999999998E-2</v>
      </c>
      <c r="T82" t="b">
        <v>0</v>
      </c>
      <c r="U82" t="b">
        <v>0</v>
      </c>
      <c r="V82">
        <v>7016012.8299225233</v>
      </c>
      <c r="W82">
        <v>8291963.6351000424</v>
      </c>
      <c r="X82">
        <v>5.6440999999999998E-2</v>
      </c>
      <c r="Y82" t="b">
        <v>1</v>
      </c>
      <c r="Z82">
        <v>7.5</v>
      </c>
      <c r="AA82">
        <v>16.45999999999977</v>
      </c>
      <c r="AB82" t="b">
        <v>1</v>
      </c>
      <c r="AC82" t="b">
        <v>1</v>
      </c>
      <c r="AE82" t="b">
        <v>0</v>
      </c>
      <c r="AF82" t="b">
        <v>0</v>
      </c>
      <c r="AG82">
        <v>33</v>
      </c>
      <c r="AH82">
        <v>48</v>
      </c>
      <c r="AI82">
        <v>-8.9220000000000006</v>
      </c>
      <c r="AJ82">
        <v>-1.958</v>
      </c>
    </row>
    <row r="83" spans="1:36" x14ac:dyDescent="0.25">
      <c r="A83">
        <v>82</v>
      </c>
      <c r="B83" t="s">
        <v>40</v>
      </c>
      <c r="C83" t="s">
        <v>44</v>
      </c>
      <c r="D83">
        <v>7.7081755299162724</v>
      </c>
      <c r="E83">
        <v>0.8</v>
      </c>
      <c r="F83">
        <v>0.02</v>
      </c>
      <c r="G83">
        <v>7850</v>
      </c>
      <c r="H83">
        <v>4.9008845396000783E-2</v>
      </c>
      <c r="I83">
        <v>2965.4849452225881</v>
      </c>
      <c r="J83" t="s">
        <v>41</v>
      </c>
      <c r="K83" t="s">
        <v>42</v>
      </c>
      <c r="L83" t="s">
        <v>41</v>
      </c>
      <c r="M83" t="s">
        <v>42</v>
      </c>
      <c r="N83">
        <v>7.5</v>
      </c>
      <c r="O83">
        <v>16.879999999999839</v>
      </c>
      <c r="P83" t="b">
        <v>1</v>
      </c>
      <c r="Q83">
        <v>0.375</v>
      </c>
      <c r="R83" t="b">
        <v>0</v>
      </c>
      <c r="S83">
        <v>5.1651000000000002E-2</v>
      </c>
      <c r="T83" t="b">
        <v>0</v>
      </c>
      <c r="U83" t="b">
        <v>0</v>
      </c>
      <c r="V83">
        <v>7235181.9055872113</v>
      </c>
      <c r="W83">
        <v>8291963.6351000424</v>
      </c>
      <c r="X83">
        <v>5.1651000000000002E-2</v>
      </c>
      <c r="Y83" t="b">
        <v>1</v>
      </c>
      <c r="Z83">
        <v>7.5</v>
      </c>
      <c r="AA83">
        <v>16.879999999999839</v>
      </c>
      <c r="AB83" t="b">
        <v>1</v>
      </c>
      <c r="AC83" t="b">
        <v>1</v>
      </c>
      <c r="AE83" t="b">
        <v>0</v>
      </c>
      <c r="AF83" t="b">
        <v>0</v>
      </c>
      <c r="AG83">
        <v>48</v>
      </c>
      <c r="AH83">
        <v>30</v>
      </c>
      <c r="AI83">
        <v>-1.958</v>
      </c>
      <c r="AJ83">
        <v>4.3780000000000001</v>
      </c>
    </row>
    <row r="84" spans="1:36" x14ac:dyDescent="0.25">
      <c r="A84">
        <v>83</v>
      </c>
      <c r="B84" t="s">
        <v>40</v>
      </c>
      <c r="C84" t="s">
        <v>44</v>
      </c>
      <c r="D84">
        <v>8.4724069779490652</v>
      </c>
      <c r="E84">
        <v>0.8</v>
      </c>
      <c r="F84">
        <v>0.02</v>
      </c>
      <c r="G84">
        <v>7850</v>
      </c>
      <c r="H84">
        <v>4.9008845396000783E-2</v>
      </c>
      <c r="I84">
        <v>3259.4996371572861</v>
      </c>
      <c r="J84" t="s">
        <v>41</v>
      </c>
      <c r="K84" t="s">
        <v>42</v>
      </c>
      <c r="L84" t="s">
        <v>41</v>
      </c>
      <c r="M84" t="s">
        <v>42</v>
      </c>
      <c r="N84">
        <v>7.5</v>
      </c>
      <c r="O84">
        <v>16.899999999999839</v>
      </c>
      <c r="P84" t="b">
        <v>1</v>
      </c>
      <c r="Q84">
        <v>0.375</v>
      </c>
      <c r="R84" t="b">
        <v>0</v>
      </c>
      <c r="S84">
        <v>5.3887999999999998E-2</v>
      </c>
      <c r="T84" t="b">
        <v>0</v>
      </c>
      <c r="U84" t="b">
        <v>0</v>
      </c>
      <c r="V84">
        <v>7016012.8299225233</v>
      </c>
      <c r="W84">
        <v>8291963.6351000424</v>
      </c>
      <c r="X84">
        <v>5.3887999999999998E-2</v>
      </c>
      <c r="Y84" t="b">
        <v>1</v>
      </c>
      <c r="Z84">
        <v>7.5</v>
      </c>
      <c r="AA84">
        <v>16.899999999999839</v>
      </c>
      <c r="AB84" t="b">
        <v>1</v>
      </c>
      <c r="AC84" t="b">
        <v>1</v>
      </c>
      <c r="AE84" t="b">
        <v>0</v>
      </c>
      <c r="AF84" t="b">
        <v>0</v>
      </c>
      <c r="AG84">
        <v>29</v>
      </c>
      <c r="AH84">
        <v>48</v>
      </c>
      <c r="AI84">
        <v>-8.9220000000000006</v>
      </c>
      <c r="AJ84">
        <v>-1.958</v>
      </c>
    </row>
    <row r="85" spans="1:36" x14ac:dyDescent="0.25">
      <c r="A85">
        <v>84</v>
      </c>
      <c r="B85" t="s">
        <v>40</v>
      </c>
      <c r="C85" t="s">
        <v>44</v>
      </c>
      <c r="D85">
        <v>7.7081755299162724</v>
      </c>
      <c r="E85">
        <v>0.8</v>
      </c>
      <c r="F85">
        <v>0.02</v>
      </c>
      <c r="G85">
        <v>7850</v>
      </c>
      <c r="H85">
        <v>4.9008845396000783E-2</v>
      </c>
      <c r="I85">
        <v>2965.4849452225881</v>
      </c>
      <c r="J85" t="s">
        <v>41</v>
      </c>
      <c r="K85" t="s">
        <v>42</v>
      </c>
      <c r="L85" t="s">
        <v>41</v>
      </c>
      <c r="M85" t="s">
        <v>42</v>
      </c>
      <c r="N85">
        <v>7.5</v>
      </c>
      <c r="O85">
        <v>16.999999999999861</v>
      </c>
      <c r="P85" t="b">
        <v>1</v>
      </c>
      <c r="Q85">
        <v>0.375</v>
      </c>
      <c r="R85" t="b">
        <v>0</v>
      </c>
      <c r="S85">
        <v>5.3452E-2</v>
      </c>
      <c r="T85" t="b">
        <v>0</v>
      </c>
      <c r="U85" t="b">
        <v>0</v>
      </c>
      <c r="V85">
        <v>7235181.9055872113</v>
      </c>
      <c r="W85">
        <v>8291963.6351000424</v>
      </c>
      <c r="X85">
        <v>5.3452E-2</v>
      </c>
      <c r="Y85" t="b">
        <v>1</v>
      </c>
      <c r="Z85">
        <v>7.5</v>
      </c>
      <c r="AA85">
        <v>16.999999999999861</v>
      </c>
      <c r="AB85" t="b">
        <v>1</v>
      </c>
      <c r="AC85" t="b">
        <v>1</v>
      </c>
      <c r="AE85" t="b">
        <v>0</v>
      </c>
      <c r="AF85" t="b">
        <v>0</v>
      </c>
      <c r="AG85">
        <v>48</v>
      </c>
      <c r="AH85">
        <v>34</v>
      </c>
      <c r="AI85">
        <v>-1.958</v>
      </c>
      <c r="AJ85">
        <v>4.3780000000000001</v>
      </c>
    </row>
    <row r="86" spans="1:36" x14ac:dyDescent="0.25">
      <c r="A86">
        <v>85</v>
      </c>
      <c r="B86" t="s">
        <v>40</v>
      </c>
      <c r="C86" t="s">
        <v>44</v>
      </c>
      <c r="D86">
        <v>7.3407455343445873</v>
      </c>
      <c r="E86">
        <v>0.8</v>
      </c>
      <c r="F86">
        <v>0.02</v>
      </c>
      <c r="G86">
        <v>7850</v>
      </c>
      <c r="H86">
        <v>4.9008845396000783E-2</v>
      </c>
      <c r="I86">
        <v>2824.1274844250038</v>
      </c>
      <c r="J86" t="s">
        <v>41</v>
      </c>
      <c r="K86" t="s">
        <v>42</v>
      </c>
      <c r="L86" t="s">
        <v>41</v>
      </c>
      <c r="M86" t="s">
        <v>42</v>
      </c>
      <c r="N86">
        <v>7.5</v>
      </c>
      <c r="O86">
        <v>16.259999999999739</v>
      </c>
      <c r="P86" t="b">
        <v>1</v>
      </c>
      <c r="Q86">
        <v>0.375</v>
      </c>
      <c r="R86" t="b">
        <v>0</v>
      </c>
      <c r="S86">
        <v>3.2629999999999999E-2</v>
      </c>
      <c r="T86" t="b">
        <v>1</v>
      </c>
      <c r="U86" t="b">
        <v>0</v>
      </c>
      <c r="V86">
        <v>7341399.2068462921</v>
      </c>
      <c r="W86">
        <v>8291963.6351000424</v>
      </c>
      <c r="X86">
        <v>3.2629999999999999E-2</v>
      </c>
      <c r="Y86" t="b">
        <v>1</v>
      </c>
      <c r="Z86">
        <v>7.5</v>
      </c>
      <c r="AA86">
        <v>16.259999999999739</v>
      </c>
      <c r="AB86" t="b">
        <v>1</v>
      </c>
      <c r="AC86" t="b">
        <v>1</v>
      </c>
      <c r="AE86" t="b">
        <v>0</v>
      </c>
      <c r="AF86" t="b">
        <v>0</v>
      </c>
      <c r="AG86">
        <v>22</v>
      </c>
      <c r="AH86">
        <v>49</v>
      </c>
      <c r="AI86">
        <v>4.3780000000000001</v>
      </c>
      <c r="AJ86">
        <v>10.262</v>
      </c>
    </row>
    <row r="87" spans="1:36" x14ac:dyDescent="0.25">
      <c r="A87">
        <v>86</v>
      </c>
      <c r="B87" t="s">
        <v>43</v>
      </c>
      <c r="C87" t="s">
        <v>44</v>
      </c>
      <c r="D87">
        <v>6.7231619049372888</v>
      </c>
      <c r="E87">
        <v>0.8</v>
      </c>
      <c r="F87">
        <v>0.02</v>
      </c>
      <c r="G87">
        <v>7850</v>
      </c>
      <c r="H87">
        <v>4.9008845396000783E-2</v>
      </c>
      <c r="I87">
        <v>2586.5310586151259</v>
      </c>
      <c r="J87" t="s">
        <v>38</v>
      </c>
      <c r="K87" t="s">
        <v>39</v>
      </c>
      <c r="L87" t="s">
        <v>38</v>
      </c>
      <c r="M87" t="s">
        <v>39</v>
      </c>
      <c r="N87">
        <v>0</v>
      </c>
      <c r="O87">
        <v>16.28999999999975</v>
      </c>
      <c r="P87" t="b">
        <v>1</v>
      </c>
      <c r="Q87">
        <v>0</v>
      </c>
      <c r="R87" t="b">
        <v>1</v>
      </c>
      <c r="S87">
        <v>1.4E-5</v>
      </c>
      <c r="T87" t="b">
        <v>1</v>
      </c>
      <c r="U87" t="b">
        <v>1</v>
      </c>
      <c r="V87">
        <v>7521368.2844096236</v>
      </c>
      <c r="W87">
        <v>8291963.6351000424</v>
      </c>
      <c r="AE87" t="b">
        <v>0</v>
      </c>
      <c r="AF87" t="b">
        <v>0</v>
      </c>
      <c r="AG87">
        <v>49</v>
      </c>
      <c r="AH87">
        <v>35</v>
      </c>
      <c r="AI87">
        <v>10.262</v>
      </c>
      <c r="AJ87">
        <v>15.651</v>
      </c>
    </row>
    <row r="88" spans="1:36" x14ac:dyDescent="0.25">
      <c r="A88">
        <v>87</v>
      </c>
      <c r="B88" t="s">
        <v>40</v>
      </c>
      <c r="C88" t="s">
        <v>44</v>
      </c>
      <c r="D88">
        <v>7.3407455343445873</v>
      </c>
      <c r="E88">
        <v>0.8</v>
      </c>
      <c r="F88">
        <v>0.02</v>
      </c>
      <c r="G88">
        <v>7850</v>
      </c>
      <c r="H88">
        <v>4.9008845396000783E-2</v>
      </c>
      <c r="I88">
        <v>2824.1274844250038</v>
      </c>
      <c r="J88" t="s">
        <v>41</v>
      </c>
      <c r="K88" t="s">
        <v>42</v>
      </c>
      <c r="L88" t="s">
        <v>41</v>
      </c>
      <c r="M88" t="s">
        <v>42</v>
      </c>
      <c r="N88">
        <v>7.5</v>
      </c>
      <c r="O88">
        <v>16.109999999999719</v>
      </c>
      <c r="P88" t="b">
        <v>1</v>
      </c>
      <c r="Q88">
        <v>0.375</v>
      </c>
      <c r="R88" t="b">
        <v>0</v>
      </c>
      <c r="S88">
        <v>3.1083E-2</v>
      </c>
      <c r="T88" t="b">
        <v>1</v>
      </c>
      <c r="U88" t="b">
        <v>0</v>
      </c>
      <c r="V88">
        <v>7341399.2068462921</v>
      </c>
      <c r="W88">
        <v>8291963.6351000424</v>
      </c>
      <c r="X88">
        <v>3.1083E-2</v>
      </c>
      <c r="Y88" t="b">
        <v>1</v>
      </c>
      <c r="Z88">
        <v>7.5</v>
      </c>
      <c r="AA88">
        <v>16.109999999999719</v>
      </c>
      <c r="AB88" t="b">
        <v>1</v>
      </c>
      <c r="AC88" t="b">
        <v>1</v>
      </c>
      <c r="AE88" t="b">
        <v>0</v>
      </c>
      <c r="AF88" t="b">
        <v>0</v>
      </c>
      <c r="AG88">
        <v>34</v>
      </c>
      <c r="AH88">
        <v>49</v>
      </c>
      <c r="AI88">
        <v>4.3780000000000001</v>
      </c>
      <c r="AJ88">
        <v>10.262</v>
      </c>
    </row>
    <row r="89" spans="1:36" x14ac:dyDescent="0.25">
      <c r="A89">
        <v>88</v>
      </c>
      <c r="B89" t="s">
        <v>43</v>
      </c>
      <c r="C89" t="s">
        <v>44</v>
      </c>
      <c r="D89">
        <v>6.7231619049372888</v>
      </c>
      <c r="E89">
        <v>0.8</v>
      </c>
      <c r="F89">
        <v>0.02</v>
      </c>
      <c r="G89">
        <v>7850</v>
      </c>
      <c r="H89">
        <v>4.9008845396000783E-2</v>
      </c>
      <c r="I89">
        <v>2586.5310586151259</v>
      </c>
      <c r="J89" t="s">
        <v>38</v>
      </c>
      <c r="K89" t="s">
        <v>39</v>
      </c>
      <c r="L89" t="s">
        <v>38</v>
      </c>
      <c r="M89" t="s">
        <v>39</v>
      </c>
      <c r="N89">
        <v>0</v>
      </c>
      <c r="O89">
        <v>16.21999999999974</v>
      </c>
      <c r="P89" t="b">
        <v>1</v>
      </c>
      <c r="Q89">
        <v>0</v>
      </c>
      <c r="R89" t="b">
        <v>1</v>
      </c>
      <c r="S89">
        <v>1.2E-5</v>
      </c>
      <c r="T89" t="b">
        <v>1</v>
      </c>
      <c r="U89" t="b">
        <v>1</v>
      </c>
      <c r="V89">
        <v>7521368.2844096236</v>
      </c>
      <c r="W89">
        <v>8291963.6351000424</v>
      </c>
      <c r="AE89" t="b">
        <v>0</v>
      </c>
      <c r="AF89" t="b">
        <v>0</v>
      </c>
      <c r="AG89">
        <v>49</v>
      </c>
      <c r="AH89">
        <v>23</v>
      </c>
      <c r="AI89">
        <v>10.262</v>
      </c>
      <c r="AJ89">
        <v>15.651</v>
      </c>
    </row>
    <row r="90" spans="1:36" x14ac:dyDescent="0.25">
      <c r="A90">
        <v>89</v>
      </c>
      <c r="B90" t="s">
        <v>40</v>
      </c>
      <c r="C90" t="s">
        <v>44</v>
      </c>
      <c r="D90">
        <v>7.3407455343445873</v>
      </c>
      <c r="E90">
        <v>0.8</v>
      </c>
      <c r="F90">
        <v>0.02</v>
      </c>
      <c r="G90">
        <v>7850</v>
      </c>
      <c r="H90">
        <v>4.9008845396000783E-2</v>
      </c>
      <c r="I90">
        <v>2824.1274844250038</v>
      </c>
      <c r="J90" t="s">
        <v>41</v>
      </c>
      <c r="K90" t="s">
        <v>42</v>
      </c>
      <c r="L90" t="s">
        <v>41</v>
      </c>
      <c r="M90" t="s">
        <v>42</v>
      </c>
      <c r="N90">
        <v>7.5</v>
      </c>
      <c r="O90">
        <v>16.81999999999983</v>
      </c>
      <c r="P90" t="b">
        <v>1</v>
      </c>
      <c r="Q90">
        <v>0.375</v>
      </c>
      <c r="R90" t="b">
        <v>0</v>
      </c>
      <c r="S90">
        <v>3.4354000000000003E-2</v>
      </c>
      <c r="T90" t="b">
        <v>1</v>
      </c>
      <c r="U90" t="b">
        <v>0</v>
      </c>
      <c r="V90">
        <v>7341399.2068462921</v>
      </c>
      <c r="W90">
        <v>8291963.6351000424</v>
      </c>
      <c r="X90">
        <v>3.4354000000000003E-2</v>
      </c>
      <c r="Y90" t="b">
        <v>1</v>
      </c>
      <c r="Z90">
        <v>7.5</v>
      </c>
      <c r="AA90">
        <v>16.81999999999983</v>
      </c>
      <c r="AB90" t="b">
        <v>1</v>
      </c>
      <c r="AC90" t="b">
        <v>1</v>
      </c>
      <c r="AE90" t="b">
        <v>0</v>
      </c>
      <c r="AF90" t="b">
        <v>0</v>
      </c>
      <c r="AG90">
        <v>26</v>
      </c>
      <c r="AH90">
        <v>50</v>
      </c>
      <c r="AI90">
        <v>4.3780000000000001</v>
      </c>
      <c r="AJ90">
        <v>10.262</v>
      </c>
    </row>
    <row r="91" spans="1:36" x14ac:dyDescent="0.25">
      <c r="A91">
        <v>90</v>
      </c>
      <c r="B91" t="s">
        <v>43</v>
      </c>
      <c r="C91" t="s">
        <v>44</v>
      </c>
      <c r="D91">
        <v>6.7231619049372888</v>
      </c>
      <c r="E91">
        <v>0.8</v>
      </c>
      <c r="F91">
        <v>0.02</v>
      </c>
      <c r="G91">
        <v>7850</v>
      </c>
      <c r="H91">
        <v>4.9008845396000783E-2</v>
      </c>
      <c r="I91">
        <v>2586.5310586151259</v>
      </c>
      <c r="J91" t="s">
        <v>38</v>
      </c>
      <c r="K91" t="s">
        <v>39</v>
      </c>
      <c r="L91" t="s">
        <v>38</v>
      </c>
      <c r="M91" t="s">
        <v>39</v>
      </c>
      <c r="N91">
        <v>0</v>
      </c>
      <c r="O91">
        <v>16.96999999999985</v>
      </c>
      <c r="P91" t="b">
        <v>1</v>
      </c>
      <c r="Q91">
        <v>0</v>
      </c>
      <c r="R91" t="b">
        <v>1</v>
      </c>
      <c r="S91">
        <v>1.4E-5</v>
      </c>
      <c r="T91" t="b">
        <v>1</v>
      </c>
      <c r="U91" t="b">
        <v>1</v>
      </c>
      <c r="V91">
        <v>7521368.2844096236</v>
      </c>
      <c r="W91">
        <v>8291963.6351000424</v>
      </c>
      <c r="AE91" t="b">
        <v>0</v>
      </c>
      <c r="AF91" t="b">
        <v>0</v>
      </c>
      <c r="AG91">
        <v>50</v>
      </c>
      <c r="AH91">
        <v>31</v>
      </c>
      <c r="AI91">
        <v>10.262</v>
      </c>
      <c r="AJ91">
        <v>15.651</v>
      </c>
    </row>
    <row r="92" spans="1:36" x14ac:dyDescent="0.25">
      <c r="A92">
        <v>91</v>
      </c>
      <c r="B92" t="s">
        <v>40</v>
      </c>
      <c r="C92" t="s">
        <v>44</v>
      </c>
      <c r="D92">
        <v>7.3407455343445873</v>
      </c>
      <c r="E92">
        <v>0.8</v>
      </c>
      <c r="F92">
        <v>0.02</v>
      </c>
      <c r="G92">
        <v>7850</v>
      </c>
      <c r="H92">
        <v>4.9008845396000783E-2</v>
      </c>
      <c r="I92">
        <v>2824.1274844250038</v>
      </c>
      <c r="J92" t="s">
        <v>41</v>
      </c>
      <c r="K92" t="s">
        <v>42</v>
      </c>
      <c r="L92" t="s">
        <v>41</v>
      </c>
      <c r="M92" t="s">
        <v>42</v>
      </c>
      <c r="N92">
        <v>7.5</v>
      </c>
      <c r="O92">
        <v>17.189999999999891</v>
      </c>
      <c r="P92" t="b">
        <v>1</v>
      </c>
      <c r="Q92">
        <v>0.375</v>
      </c>
      <c r="R92" t="b">
        <v>0</v>
      </c>
      <c r="S92">
        <v>2.9524000000000002E-2</v>
      </c>
      <c r="T92" t="b">
        <v>1</v>
      </c>
      <c r="U92" t="b">
        <v>0</v>
      </c>
      <c r="V92">
        <v>7341399.2068462921</v>
      </c>
      <c r="W92">
        <v>8291963.6351000424</v>
      </c>
      <c r="X92">
        <v>2.9524000000000002E-2</v>
      </c>
      <c r="Y92" t="b">
        <v>1</v>
      </c>
      <c r="Z92">
        <v>7.5</v>
      </c>
      <c r="AA92">
        <v>17.189999999999891</v>
      </c>
      <c r="AB92" t="b">
        <v>1</v>
      </c>
      <c r="AC92" t="b">
        <v>1</v>
      </c>
      <c r="AE92" t="b">
        <v>0</v>
      </c>
      <c r="AF92" t="b">
        <v>0</v>
      </c>
      <c r="AG92">
        <v>30</v>
      </c>
      <c r="AH92">
        <v>50</v>
      </c>
      <c r="AI92">
        <v>4.3780000000000001</v>
      </c>
      <c r="AJ92">
        <v>10.262</v>
      </c>
    </row>
    <row r="93" spans="1:36" x14ac:dyDescent="0.25">
      <c r="A93">
        <v>92</v>
      </c>
      <c r="B93" t="s">
        <v>43</v>
      </c>
      <c r="C93" t="s">
        <v>44</v>
      </c>
      <c r="D93">
        <v>6.7231619049372888</v>
      </c>
      <c r="E93">
        <v>0.8</v>
      </c>
      <c r="F93">
        <v>0.02</v>
      </c>
      <c r="G93">
        <v>7850</v>
      </c>
      <c r="H93">
        <v>4.9008845396000783E-2</v>
      </c>
      <c r="I93">
        <v>2586.5310586151259</v>
      </c>
      <c r="J93" t="s">
        <v>38</v>
      </c>
      <c r="K93" t="s">
        <v>39</v>
      </c>
      <c r="L93" t="s">
        <v>38</v>
      </c>
      <c r="M93" t="s">
        <v>39</v>
      </c>
      <c r="N93">
        <v>0</v>
      </c>
      <c r="O93">
        <v>17.339999999999911</v>
      </c>
      <c r="P93" t="b">
        <v>1</v>
      </c>
      <c r="Q93">
        <v>0</v>
      </c>
      <c r="R93" t="b">
        <v>1</v>
      </c>
      <c r="S93">
        <v>1.2999999999999999E-5</v>
      </c>
      <c r="T93" t="b">
        <v>1</v>
      </c>
      <c r="U93" t="b">
        <v>1</v>
      </c>
      <c r="V93">
        <v>7521368.2844096236</v>
      </c>
      <c r="W93">
        <v>8291963.6351000424</v>
      </c>
      <c r="AE93" t="b">
        <v>0</v>
      </c>
      <c r="AF93" t="b">
        <v>0</v>
      </c>
      <c r="AG93">
        <v>50</v>
      </c>
      <c r="AH93">
        <v>27</v>
      </c>
      <c r="AI93">
        <v>10.262</v>
      </c>
      <c r="AJ93">
        <v>15.651</v>
      </c>
    </row>
    <row r="94" spans="1:36" x14ac:dyDescent="0.25">
      <c r="A94">
        <v>93</v>
      </c>
      <c r="B94" t="s">
        <v>40</v>
      </c>
      <c r="C94" t="s">
        <v>44</v>
      </c>
      <c r="D94">
        <v>7.3407455343445873</v>
      </c>
      <c r="E94">
        <v>0.8</v>
      </c>
      <c r="F94">
        <v>0.02</v>
      </c>
      <c r="G94">
        <v>7850</v>
      </c>
      <c r="H94">
        <v>4.9008845396000783E-2</v>
      </c>
      <c r="I94">
        <v>2824.1274844250038</v>
      </c>
      <c r="J94" t="s">
        <v>41</v>
      </c>
      <c r="K94" t="s">
        <v>42</v>
      </c>
      <c r="L94" t="s">
        <v>41</v>
      </c>
      <c r="M94" t="s">
        <v>42</v>
      </c>
      <c r="N94">
        <v>7.5</v>
      </c>
      <c r="O94">
        <v>16.099999999999721</v>
      </c>
      <c r="P94" t="b">
        <v>1</v>
      </c>
      <c r="Q94">
        <v>0.375</v>
      </c>
      <c r="R94" t="b">
        <v>0</v>
      </c>
      <c r="S94">
        <v>5.6177999999999999E-2</v>
      </c>
      <c r="T94" t="b">
        <v>0</v>
      </c>
      <c r="U94" t="b">
        <v>0</v>
      </c>
      <c r="V94">
        <v>7341399.2068462921</v>
      </c>
      <c r="W94">
        <v>8291963.6351000424</v>
      </c>
      <c r="X94">
        <v>5.6177999999999999E-2</v>
      </c>
      <c r="Y94" t="b">
        <v>1</v>
      </c>
      <c r="Z94">
        <v>7.5</v>
      </c>
      <c r="AA94">
        <v>16.099999999999721</v>
      </c>
      <c r="AB94" t="b">
        <v>1</v>
      </c>
      <c r="AC94" t="b">
        <v>1</v>
      </c>
      <c r="AE94" t="b">
        <v>0</v>
      </c>
      <c r="AF94" t="b">
        <v>0</v>
      </c>
      <c r="AG94">
        <v>22</v>
      </c>
      <c r="AH94">
        <v>51</v>
      </c>
      <c r="AI94">
        <v>4.3780000000000001</v>
      </c>
      <c r="AJ94">
        <v>10.262</v>
      </c>
    </row>
    <row r="95" spans="1:36" x14ac:dyDescent="0.25">
      <c r="A95">
        <v>94</v>
      </c>
      <c r="B95" t="s">
        <v>43</v>
      </c>
      <c r="C95" t="s">
        <v>44</v>
      </c>
      <c r="D95">
        <v>6.7231619049372888</v>
      </c>
      <c r="E95">
        <v>0.8</v>
      </c>
      <c r="F95">
        <v>0.02</v>
      </c>
      <c r="G95">
        <v>7850</v>
      </c>
      <c r="H95">
        <v>4.9008845396000783E-2</v>
      </c>
      <c r="I95">
        <v>2586.5310586151259</v>
      </c>
      <c r="J95" t="s">
        <v>38</v>
      </c>
      <c r="K95" t="s">
        <v>39</v>
      </c>
      <c r="L95" t="s">
        <v>38</v>
      </c>
      <c r="M95" t="s">
        <v>39</v>
      </c>
      <c r="N95">
        <v>0</v>
      </c>
      <c r="O95">
        <v>16.319999999999752</v>
      </c>
      <c r="P95" t="b">
        <v>1</v>
      </c>
      <c r="Q95">
        <v>0</v>
      </c>
      <c r="R95" t="b">
        <v>1</v>
      </c>
      <c r="S95">
        <v>5.3999999999999998E-5</v>
      </c>
      <c r="T95" t="b">
        <v>1</v>
      </c>
      <c r="U95" t="b">
        <v>1</v>
      </c>
      <c r="V95">
        <v>7521368.2844096236</v>
      </c>
      <c r="W95">
        <v>8291963.6351000424</v>
      </c>
      <c r="AE95" t="b">
        <v>0</v>
      </c>
      <c r="AF95" t="b">
        <v>0</v>
      </c>
      <c r="AG95">
        <v>51</v>
      </c>
      <c r="AH95">
        <v>27</v>
      </c>
      <c r="AI95">
        <v>10.262</v>
      </c>
      <c r="AJ95">
        <v>15.651</v>
      </c>
    </row>
    <row r="96" spans="1:36" x14ac:dyDescent="0.25">
      <c r="A96">
        <v>95</v>
      </c>
      <c r="B96" t="s">
        <v>40</v>
      </c>
      <c r="C96" t="s">
        <v>44</v>
      </c>
      <c r="D96">
        <v>7.3407455343445873</v>
      </c>
      <c r="E96">
        <v>0.8</v>
      </c>
      <c r="F96">
        <v>0.02</v>
      </c>
      <c r="G96">
        <v>7850</v>
      </c>
      <c r="H96">
        <v>4.9008845396000783E-2</v>
      </c>
      <c r="I96">
        <v>2824.1274844250038</v>
      </c>
      <c r="J96" t="s">
        <v>41</v>
      </c>
      <c r="K96" t="s">
        <v>42</v>
      </c>
      <c r="L96" t="s">
        <v>41</v>
      </c>
      <c r="M96" t="s">
        <v>42</v>
      </c>
      <c r="N96">
        <v>7.5</v>
      </c>
      <c r="O96">
        <v>16.6099999999998</v>
      </c>
      <c r="P96" t="b">
        <v>1</v>
      </c>
      <c r="Q96">
        <v>0.375</v>
      </c>
      <c r="R96" t="b">
        <v>0</v>
      </c>
      <c r="S96">
        <v>5.9588000000000002E-2</v>
      </c>
      <c r="T96" t="b">
        <v>0</v>
      </c>
      <c r="U96" t="b">
        <v>0</v>
      </c>
      <c r="V96">
        <v>7341399.2068462921</v>
      </c>
      <c r="W96">
        <v>8291963.6351000424</v>
      </c>
      <c r="X96">
        <v>5.9588000000000002E-2</v>
      </c>
      <c r="Y96" t="b">
        <v>1</v>
      </c>
      <c r="Z96">
        <v>7.5</v>
      </c>
      <c r="AA96">
        <v>16.6099999999998</v>
      </c>
      <c r="AB96" t="b">
        <v>1</v>
      </c>
      <c r="AC96" t="b">
        <v>1</v>
      </c>
      <c r="AE96" t="b">
        <v>0</v>
      </c>
      <c r="AF96" t="b">
        <v>0</v>
      </c>
      <c r="AG96">
        <v>26</v>
      </c>
      <c r="AH96">
        <v>51</v>
      </c>
      <c r="AI96">
        <v>4.3780000000000001</v>
      </c>
      <c r="AJ96">
        <v>10.262</v>
      </c>
    </row>
    <row r="97" spans="1:36" x14ac:dyDescent="0.25">
      <c r="A97">
        <v>96</v>
      </c>
      <c r="B97" t="s">
        <v>43</v>
      </c>
      <c r="C97" t="s">
        <v>44</v>
      </c>
      <c r="D97">
        <v>6.7231619049372888</v>
      </c>
      <c r="E97">
        <v>0.8</v>
      </c>
      <c r="F97">
        <v>0.02</v>
      </c>
      <c r="G97">
        <v>7850</v>
      </c>
      <c r="H97">
        <v>4.9008845396000783E-2</v>
      </c>
      <c r="I97">
        <v>2586.5310586151259</v>
      </c>
      <c r="J97" t="s">
        <v>38</v>
      </c>
      <c r="K97" t="s">
        <v>39</v>
      </c>
      <c r="L97" t="s">
        <v>38</v>
      </c>
      <c r="M97" t="s">
        <v>39</v>
      </c>
      <c r="N97">
        <v>0</v>
      </c>
      <c r="O97">
        <v>16.729999999999819</v>
      </c>
      <c r="P97" t="b">
        <v>1</v>
      </c>
      <c r="Q97">
        <v>0</v>
      </c>
      <c r="R97" t="b">
        <v>1</v>
      </c>
      <c r="S97">
        <v>5.5000000000000002E-5</v>
      </c>
      <c r="T97" t="b">
        <v>1</v>
      </c>
      <c r="U97" t="b">
        <v>1</v>
      </c>
      <c r="V97">
        <v>7521368.2844096236</v>
      </c>
      <c r="W97">
        <v>8291963.6351000424</v>
      </c>
      <c r="AE97" t="b">
        <v>0</v>
      </c>
      <c r="AF97" t="b">
        <v>0</v>
      </c>
      <c r="AG97">
        <v>51</v>
      </c>
      <c r="AH97">
        <v>23</v>
      </c>
      <c r="AI97">
        <v>10.262</v>
      </c>
      <c r="AJ97">
        <v>15.651</v>
      </c>
    </row>
    <row r="98" spans="1:36" x14ac:dyDescent="0.25">
      <c r="A98">
        <v>97</v>
      </c>
      <c r="B98" t="s">
        <v>40</v>
      </c>
      <c r="C98" t="s">
        <v>44</v>
      </c>
      <c r="D98">
        <v>7.3407455343445873</v>
      </c>
      <c r="E98">
        <v>0.8</v>
      </c>
      <c r="F98">
        <v>0.02</v>
      </c>
      <c r="G98">
        <v>7850</v>
      </c>
      <c r="H98">
        <v>4.9008845396000783E-2</v>
      </c>
      <c r="I98">
        <v>2824.1274844250038</v>
      </c>
      <c r="J98" t="s">
        <v>41</v>
      </c>
      <c r="K98" t="s">
        <v>42</v>
      </c>
      <c r="L98" t="s">
        <v>41</v>
      </c>
      <c r="M98" t="s">
        <v>42</v>
      </c>
      <c r="N98">
        <v>7.5</v>
      </c>
      <c r="O98">
        <v>15.9099999999997</v>
      </c>
      <c r="P98" t="b">
        <v>1</v>
      </c>
      <c r="Q98">
        <v>0.375</v>
      </c>
      <c r="R98" t="b">
        <v>0</v>
      </c>
      <c r="S98">
        <v>5.2220999999999997E-2</v>
      </c>
      <c r="T98" t="b">
        <v>0</v>
      </c>
      <c r="U98" t="b">
        <v>0</v>
      </c>
      <c r="V98">
        <v>7341399.2068462921</v>
      </c>
      <c r="W98">
        <v>8291963.6351000424</v>
      </c>
      <c r="X98">
        <v>5.2220999999999997E-2</v>
      </c>
      <c r="Y98" t="b">
        <v>1</v>
      </c>
      <c r="Z98">
        <v>7.5</v>
      </c>
      <c r="AA98">
        <v>15.9099999999997</v>
      </c>
      <c r="AB98" t="b">
        <v>1</v>
      </c>
      <c r="AC98" t="b">
        <v>1</v>
      </c>
      <c r="AE98" t="b">
        <v>0</v>
      </c>
      <c r="AF98" t="b">
        <v>0</v>
      </c>
      <c r="AG98">
        <v>34</v>
      </c>
      <c r="AH98">
        <v>52</v>
      </c>
      <c r="AI98">
        <v>4.3780000000000001</v>
      </c>
      <c r="AJ98">
        <v>10.262</v>
      </c>
    </row>
    <row r="99" spans="1:36" x14ac:dyDescent="0.25">
      <c r="A99">
        <v>98</v>
      </c>
      <c r="B99" t="s">
        <v>43</v>
      </c>
      <c r="C99" t="s">
        <v>44</v>
      </c>
      <c r="D99">
        <v>6.7231619049372888</v>
      </c>
      <c r="E99">
        <v>0.8</v>
      </c>
      <c r="F99">
        <v>0.02</v>
      </c>
      <c r="G99">
        <v>7850</v>
      </c>
      <c r="H99">
        <v>4.9008845396000783E-2</v>
      </c>
      <c r="I99">
        <v>2586.5310586151259</v>
      </c>
      <c r="J99" t="s">
        <v>38</v>
      </c>
      <c r="K99" t="s">
        <v>39</v>
      </c>
      <c r="L99" t="s">
        <v>38</v>
      </c>
      <c r="M99" t="s">
        <v>39</v>
      </c>
      <c r="N99">
        <v>0</v>
      </c>
      <c r="O99">
        <v>16.129999999999718</v>
      </c>
      <c r="P99" t="b">
        <v>1</v>
      </c>
      <c r="Q99">
        <v>0</v>
      </c>
      <c r="R99" t="b">
        <v>1</v>
      </c>
      <c r="S99">
        <v>4.6999999999999997E-5</v>
      </c>
      <c r="T99" t="b">
        <v>1</v>
      </c>
      <c r="U99" t="b">
        <v>1</v>
      </c>
      <c r="V99">
        <v>7521368.2844096236</v>
      </c>
      <c r="W99">
        <v>8291963.6351000424</v>
      </c>
      <c r="AE99" t="b">
        <v>0</v>
      </c>
      <c r="AF99" t="b">
        <v>0</v>
      </c>
      <c r="AG99">
        <v>52</v>
      </c>
      <c r="AH99">
        <v>31</v>
      </c>
      <c r="AI99">
        <v>10.262</v>
      </c>
      <c r="AJ99">
        <v>15.651</v>
      </c>
    </row>
    <row r="100" spans="1:36" x14ac:dyDescent="0.25">
      <c r="A100">
        <v>99</v>
      </c>
      <c r="B100" t="s">
        <v>40</v>
      </c>
      <c r="C100" t="s">
        <v>44</v>
      </c>
      <c r="D100">
        <v>7.3407455343445873</v>
      </c>
      <c r="E100">
        <v>0.8</v>
      </c>
      <c r="F100">
        <v>0.02</v>
      </c>
      <c r="G100">
        <v>7850</v>
      </c>
      <c r="H100">
        <v>4.9008845396000783E-2</v>
      </c>
      <c r="I100">
        <v>2824.1274844250038</v>
      </c>
      <c r="J100" t="s">
        <v>41</v>
      </c>
      <c r="K100" t="s">
        <v>42</v>
      </c>
      <c r="L100" t="s">
        <v>41</v>
      </c>
      <c r="M100" t="s">
        <v>42</v>
      </c>
      <c r="N100">
        <v>7.5</v>
      </c>
      <c r="O100">
        <v>16.429999999999769</v>
      </c>
      <c r="P100" t="b">
        <v>1</v>
      </c>
      <c r="Q100">
        <v>0.375</v>
      </c>
      <c r="R100" t="b">
        <v>0</v>
      </c>
      <c r="S100">
        <v>4.9723000000000003E-2</v>
      </c>
      <c r="T100" t="b">
        <v>1</v>
      </c>
      <c r="U100" t="b">
        <v>0</v>
      </c>
      <c r="V100">
        <v>7341399.2068462921</v>
      </c>
      <c r="W100">
        <v>8291963.6351000424</v>
      </c>
      <c r="X100">
        <v>4.9723000000000003E-2</v>
      </c>
      <c r="Y100" t="b">
        <v>1</v>
      </c>
      <c r="Z100">
        <v>7.5</v>
      </c>
      <c r="AA100">
        <v>16.429999999999769</v>
      </c>
      <c r="AB100" t="b">
        <v>1</v>
      </c>
      <c r="AC100" t="b">
        <v>1</v>
      </c>
      <c r="AE100" t="b">
        <v>0</v>
      </c>
      <c r="AF100" t="b">
        <v>0</v>
      </c>
      <c r="AG100">
        <v>30</v>
      </c>
      <c r="AH100">
        <v>52</v>
      </c>
      <c r="AI100">
        <v>4.3780000000000001</v>
      </c>
      <c r="AJ100">
        <v>10.262</v>
      </c>
    </row>
    <row r="101" spans="1:36" x14ac:dyDescent="0.25">
      <c r="A101">
        <v>100</v>
      </c>
      <c r="B101" t="s">
        <v>43</v>
      </c>
      <c r="C101" t="s">
        <v>44</v>
      </c>
      <c r="D101">
        <v>6.7231619049372888</v>
      </c>
      <c r="E101">
        <v>0.8</v>
      </c>
      <c r="F101">
        <v>0.02</v>
      </c>
      <c r="G101">
        <v>7850</v>
      </c>
      <c r="H101">
        <v>4.9008845396000783E-2</v>
      </c>
      <c r="I101">
        <v>2586.5310586151259</v>
      </c>
      <c r="J101" t="s">
        <v>38</v>
      </c>
      <c r="K101" t="s">
        <v>39</v>
      </c>
      <c r="L101" t="s">
        <v>38</v>
      </c>
      <c r="M101" t="s">
        <v>39</v>
      </c>
      <c r="N101">
        <v>0</v>
      </c>
      <c r="O101">
        <v>16.49999999999978</v>
      </c>
      <c r="P101" t="b">
        <v>1</v>
      </c>
      <c r="Q101">
        <v>0</v>
      </c>
      <c r="R101" t="b">
        <v>1</v>
      </c>
      <c r="S101">
        <v>4.6E-5</v>
      </c>
      <c r="T101" t="b">
        <v>1</v>
      </c>
      <c r="U101" t="b">
        <v>1</v>
      </c>
      <c r="V101">
        <v>7521368.2844096236</v>
      </c>
      <c r="W101">
        <v>8291963.6351000424</v>
      </c>
      <c r="AE101" t="b">
        <v>0</v>
      </c>
      <c r="AF101" t="b">
        <v>0</v>
      </c>
      <c r="AG101">
        <v>52</v>
      </c>
      <c r="AH101">
        <v>35</v>
      </c>
      <c r="AI101">
        <v>10.262</v>
      </c>
      <c r="AJ101">
        <v>15.651</v>
      </c>
    </row>
    <row r="102" spans="1:36" x14ac:dyDescent="0.25">
      <c r="A102">
        <v>101</v>
      </c>
      <c r="B102" t="s">
        <v>43</v>
      </c>
      <c r="C102" t="s">
        <v>37</v>
      </c>
      <c r="D102">
        <v>4</v>
      </c>
      <c r="E102">
        <v>1.2</v>
      </c>
      <c r="F102">
        <v>0.04</v>
      </c>
      <c r="G102">
        <v>7850</v>
      </c>
      <c r="H102">
        <v>0.1457698991265664</v>
      </c>
      <c r="I102">
        <v>4577.1748325741864</v>
      </c>
      <c r="J102" t="s">
        <v>38</v>
      </c>
      <c r="K102" t="s">
        <v>39</v>
      </c>
      <c r="L102" t="s">
        <v>38</v>
      </c>
      <c r="M102" t="s">
        <v>39</v>
      </c>
      <c r="N102">
        <v>0</v>
      </c>
      <c r="O102">
        <v>39.820000000000633</v>
      </c>
      <c r="P102" t="b">
        <v>1</v>
      </c>
      <c r="Q102">
        <v>0</v>
      </c>
      <c r="R102" t="b">
        <v>1</v>
      </c>
      <c r="S102">
        <v>0</v>
      </c>
      <c r="T102" t="b">
        <v>1</v>
      </c>
      <c r="U102" t="b">
        <v>1</v>
      </c>
      <c r="V102">
        <v>27083439.218926731</v>
      </c>
      <c r="W102">
        <v>25567348.90806872</v>
      </c>
      <c r="AE102" t="b">
        <v>0</v>
      </c>
      <c r="AF102" t="b">
        <v>0</v>
      </c>
      <c r="AG102">
        <v>24</v>
      </c>
      <c r="AH102">
        <v>53</v>
      </c>
      <c r="AI102">
        <v>16.149999999999999</v>
      </c>
      <c r="AJ102">
        <v>20.149999999999999</v>
      </c>
    </row>
    <row r="103" spans="1:36" x14ac:dyDescent="0.25">
      <c r="A103">
        <v>102</v>
      </c>
      <c r="B103" t="s">
        <v>43</v>
      </c>
      <c r="C103" t="s">
        <v>37</v>
      </c>
      <c r="D103">
        <v>4</v>
      </c>
      <c r="E103">
        <v>1.2</v>
      </c>
      <c r="F103">
        <v>0.04</v>
      </c>
      <c r="G103">
        <v>7850</v>
      </c>
      <c r="H103">
        <v>0.1457698991265664</v>
      </c>
      <c r="I103">
        <v>4577.1748325741864</v>
      </c>
      <c r="J103" t="s">
        <v>38</v>
      </c>
      <c r="K103" t="s">
        <v>39</v>
      </c>
      <c r="L103" t="s">
        <v>38</v>
      </c>
      <c r="M103" t="s">
        <v>39</v>
      </c>
      <c r="N103">
        <v>0</v>
      </c>
      <c r="O103">
        <v>39.820000000000633</v>
      </c>
      <c r="P103" t="b">
        <v>1</v>
      </c>
      <c r="Q103">
        <v>0</v>
      </c>
      <c r="R103" t="b">
        <v>1</v>
      </c>
      <c r="S103">
        <v>0</v>
      </c>
      <c r="T103" t="b">
        <v>1</v>
      </c>
      <c r="U103" t="b">
        <v>1</v>
      </c>
      <c r="V103">
        <v>27083439.218926731</v>
      </c>
      <c r="W103">
        <v>25567348.90806872</v>
      </c>
      <c r="AE103" t="b">
        <v>0</v>
      </c>
      <c r="AF103" t="b">
        <v>0</v>
      </c>
      <c r="AG103">
        <v>28</v>
      </c>
      <c r="AH103">
        <v>54</v>
      </c>
      <c r="AI103">
        <v>16.149999999999999</v>
      </c>
      <c r="AJ103">
        <v>20.149999999999999</v>
      </c>
    </row>
    <row r="104" spans="1:36" x14ac:dyDescent="0.25">
      <c r="A104">
        <v>103</v>
      </c>
      <c r="B104" t="s">
        <v>43</v>
      </c>
      <c r="C104" t="s">
        <v>37</v>
      </c>
      <c r="D104">
        <v>4</v>
      </c>
      <c r="E104">
        <v>1.2</v>
      </c>
      <c r="F104">
        <v>0.04</v>
      </c>
      <c r="G104">
        <v>7850</v>
      </c>
      <c r="H104">
        <v>0.1457698991265664</v>
      </c>
      <c r="I104">
        <v>4577.1748325741864</v>
      </c>
      <c r="J104" t="s">
        <v>38</v>
      </c>
      <c r="K104" t="s">
        <v>39</v>
      </c>
      <c r="L104" t="s">
        <v>38</v>
      </c>
      <c r="M104" t="s">
        <v>39</v>
      </c>
      <c r="N104">
        <v>0</v>
      </c>
      <c r="O104">
        <v>39.820000000000633</v>
      </c>
      <c r="P104" t="b">
        <v>1</v>
      </c>
      <c r="Q104">
        <v>0</v>
      </c>
      <c r="R104" t="b">
        <v>1</v>
      </c>
      <c r="S104">
        <v>0</v>
      </c>
      <c r="T104" t="b">
        <v>1</v>
      </c>
      <c r="U104" t="b">
        <v>1</v>
      </c>
      <c r="V104">
        <v>27083439.218926731</v>
      </c>
      <c r="W104">
        <v>25567348.90806872</v>
      </c>
      <c r="AE104" t="b">
        <v>0</v>
      </c>
      <c r="AF104" t="b">
        <v>0</v>
      </c>
      <c r="AG104">
        <v>32</v>
      </c>
      <c r="AH104">
        <v>56</v>
      </c>
      <c r="AI104">
        <v>16.149999999999999</v>
      </c>
      <c r="AJ104">
        <v>20.149999999999999</v>
      </c>
    </row>
    <row r="105" spans="1:36" x14ac:dyDescent="0.25">
      <c r="A105">
        <v>104</v>
      </c>
      <c r="B105" t="s">
        <v>43</v>
      </c>
      <c r="C105" t="s">
        <v>37</v>
      </c>
      <c r="D105">
        <v>4</v>
      </c>
      <c r="E105">
        <v>1.2</v>
      </c>
      <c r="F105">
        <v>0.04</v>
      </c>
      <c r="G105">
        <v>7850</v>
      </c>
      <c r="H105">
        <v>0.1457698991265664</v>
      </c>
      <c r="I105">
        <v>4577.1748325741864</v>
      </c>
      <c r="J105" t="s">
        <v>38</v>
      </c>
      <c r="K105" t="s">
        <v>39</v>
      </c>
      <c r="L105" t="s">
        <v>38</v>
      </c>
      <c r="M105" t="s">
        <v>39</v>
      </c>
      <c r="N105">
        <v>0</v>
      </c>
      <c r="O105">
        <v>39.820000000000633</v>
      </c>
      <c r="P105" t="b">
        <v>1</v>
      </c>
      <c r="Q105">
        <v>0</v>
      </c>
      <c r="R105" t="b">
        <v>1</v>
      </c>
      <c r="S105">
        <v>0</v>
      </c>
      <c r="T105" t="b">
        <v>1</v>
      </c>
      <c r="U105" t="b">
        <v>1</v>
      </c>
      <c r="V105">
        <v>27083439.218926731</v>
      </c>
      <c r="W105">
        <v>25567348.90806872</v>
      </c>
      <c r="AE105" t="b">
        <v>0</v>
      </c>
      <c r="AF105" t="b">
        <v>0</v>
      </c>
      <c r="AG105">
        <v>36</v>
      </c>
      <c r="AH105">
        <v>55</v>
      </c>
      <c r="AI105">
        <v>16.149999999999999</v>
      </c>
      <c r="AJ105">
        <v>20.149999999999999</v>
      </c>
    </row>
    <row r="106" spans="1:36" x14ac:dyDescent="0.25">
      <c r="A106">
        <v>105</v>
      </c>
      <c r="B106" t="s">
        <v>36</v>
      </c>
      <c r="C106" t="s">
        <v>37</v>
      </c>
      <c r="D106">
        <v>4</v>
      </c>
      <c r="E106">
        <v>2.0819999999999999</v>
      </c>
      <c r="F106">
        <v>0.49099999999999999</v>
      </c>
      <c r="G106">
        <v>3339.12</v>
      </c>
      <c r="H106">
        <v>2.4541524907239278</v>
      </c>
      <c r="I106">
        <v>32778.838659304332</v>
      </c>
      <c r="J106" t="s">
        <v>38</v>
      </c>
      <c r="K106" t="s">
        <v>39</v>
      </c>
      <c r="L106" t="s">
        <v>38</v>
      </c>
      <c r="M106" t="s">
        <v>39</v>
      </c>
      <c r="N106">
        <v>0</v>
      </c>
      <c r="O106">
        <v>474.53999999985842</v>
      </c>
      <c r="P106" t="b">
        <v>1</v>
      </c>
      <c r="Q106">
        <v>0</v>
      </c>
      <c r="R106" t="b">
        <v>1</v>
      </c>
      <c r="S106">
        <v>0</v>
      </c>
      <c r="T106" t="b">
        <v>1</v>
      </c>
      <c r="U106" t="b">
        <v>1</v>
      </c>
      <c r="V106">
        <v>729679907.86764097</v>
      </c>
      <c r="W106">
        <v>667674565.71251583</v>
      </c>
      <c r="AE106" t="b">
        <v>0</v>
      </c>
      <c r="AF106" t="b">
        <v>0</v>
      </c>
      <c r="AG106">
        <v>58</v>
      </c>
      <c r="AH106">
        <v>1</v>
      </c>
      <c r="AI106">
        <v>-49.5</v>
      </c>
      <c r="AJ106">
        <v>-45.5</v>
      </c>
    </row>
    <row r="107" spans="1:36" x14ac:dyDescent="0.25">
      <c r="A107">
        <v>106</v>
      </c>
      <c r="B107" t="s">
        <v>36</v>
      </c>
      <c r="C107" t="s">
        <v>37</v>
      </c>
      <c r="D107">
        <v>4</v>
      </c>
      <c r="E107">
        <v>2.0819999999999999</v>
      </c>
      <c r="F107">
        <v>0.49099999999999999</v>
      </c>
      <c r="G107">
        <v>3339.12</v>
      </c>
      <c r="H107">
        <v>2.4541524907239278</v>
      </c>
      <c r="I107">
        <v>32778.838659304332</v>
      </c>
      <c r="J107" t="s">
        <v>38</v>
      </c>
      <c r="K107" t="s">
        <v>39</v>
      </c>
      <c r="L107" t="s">
        <v>38</v>
      </c>
      <c r="M107" t="s">
        <v>39</v>
      </c>
      <c r="N107">
        <v>0</v>
      </c>
      <c r="O107">
        <v>474.0199999998589</v>
      </c>
      <c r="P107" t="b">
        <v>1</v>
      </c>
      <c r="Q107">
        <v>0</v>
      </c>
      <c r="R107" t="b">
        <v>1</v>
      </c>
      <c r="S107">
        <v>0</v>
      </c>
      <c r="T107" t="b">
        <v>1</v>
      </c>
      <c r="U107" t="b">
        <v>1</v>
      </c>
      <c r="V107">
        <v>729679907.86764097</v>
      </c>
      <c r="W107">
        <v>667674565.71251583</v>
      </c>
      <c r="AE107" t="b">
        <v>0</v>
      </c>
      <c r="AF107" t="b">
        <v>0</v>
      </c>
      <c r="AG107">
        <v>57</v>
      </c>
      <c r="AH107">
        <v>16</v>
      </c>
      <c r="AI107">
        <v>-49.5</v>
      </c>
      <c r="AJ107">
        <v>-45.5</v>
      </c>
    </row>
    <row r="108" spans="1:36" x14ac:dyDescent="0.25">
      <c r="A108">
        <v>107</v>
      </c>
      <c r="B108" t="s">
        <v>36</v>
      </c>
      <c r="C108" t="s">
        <v>37</v>
      </c>
      <c r="D108">
        <v>4</v>
      </c>
      <c r="E108">
        <v>2.0819999999999999</v>
      </c>
      <c r="F108">
        <v>0.49099999999999999</v>
      </c>
      <c r="G108">
        <v>3339.12</v>
      </c>
      <c r="H108">
        <v>2.4541524907239278</v>
      </c>
      <c r="I108">
        <v>32778.838659304332</v>
      </c>
      <c r="J108" t="s">
        <v>38</v>
      </c>
      <c r="K108" t="s">
        <v>39</v>
      </c>
      <c r="L108" t="s">
        <v>38</v>
      </c>
      <c r="M108" t="s">
        <v>39</v>
      </c>
      <c r="N108">
        <v>0</v>
      </c>
      <c r="O108">
        <v>478.9599999998544</v>
      </c>
      <c r="P108" t="b">
        <v>1</v>
      </c>
      <c r="Q108">
        <v>0</v>
      </c>
      <c r="R108" t="b">
        <v>1</v>
      </c>
      <c r="S108">
        <v>0</v>
      </c>
      <c r="T108" t="b">
        <v>1</v>
      </c>
      <c r="U108" t="b">
        <v>1</v>
      </c>
      <c r="V108">
        <v>729679907.86764097</v>
      </c>
      <c r="W108">
        <v>667674565.71251583</v>
      </c>
      <c r="AE108" t="b">
        <v>0</v>
      </c>
      <c r="AF108" t="b">
        <v>0</v>
      </c>
      <c r="AG108">
        <v>60</v>
      </c>
      <c r="AH108">
        <v>6</v>
      </c>
      <c r="AI108">
        <v>-49.5</v>
      </c>
      <c r="AJ108">
        <v>-45.5</v>
      </c>
    </row>
    <row r="109" spans="1:36" x14ac:dyDescent="0.25">
      <c r="A109">
        <v>108</v>
      </c>
      <c r="B109" t="s">
        <v>36</v>
      </c>
      <c r="C109" t="s">
        <v>37</v>
      </c>
      <c r="D109">
        <v>4</v>
      </c>
      <c r="E109">
        <v>2.0819999999999999</v>
      </c>
      <c r="F109">
        <v>0.49099999999999999</v>
      </c>
      <c r="G109">
        <v>3339.12</v>
      </c>
      <c r="H109">
        <v>2.4541524907239278</v>
      </c>
      <c r="I109">
        <v>32778.838659304332</v>
      </c>
      <c r="J109" t="s">
        <v>38</v>
      </c>
      <c r="K109" t="s">
        <v>39</v>
      </c>
      <c r="L109" t="s">
        <v>38</v>
      </c>
      <c r="M109" t="s">
        <v>39</v>
      </c>
      <c r="N109">
        <v>0</v>
      </c>
      <c r="O109">
        <v>478.75999999985447</v>
      </c>
      <c r="P109" t="b">
        <v>1</v>
      </c>
      <c r="Q109">
        <v>0</v>
      </c>
      <c r="R109" t="b">
        <v>1</v>
      </c>
      <c r="S109">
        <v>0</v>
      </c>
      <c r="T109" t="b">
        <v>1</v>
      </c>
      <c r="U109" t="b">
        <v>1</v>
      </c>
      <c r="V109">
        <v>729679907.86764097</v>
      </c>
      <c r="W109">
        <v>667674565.71251583</v>
      </c>
      <c r="AE109" t="b">
        <v>0</v>
      </c>
      <c r="AF109" t="b">
        <v>0</v>
      </c>
      <c r="AG109">
        <v>59</v>
      </c>
      <c r="AH109">
        <v>11</v>
      </c>
      <c r="AI109">
        <v>-49.5</v>
      </c>
      <c r="AJ109">
        <v>-45.5</v>
      </c>
    </row>
    <row r="110" spans="1:36" x14ac:dyDescent="0.25">
      <c r="A110">
        <v>109</v>
      </c>
      <c r="B110" t="s">
        <v>36</v>
      </c>
      <c r="C110" t="s">
        <v>37</v>
      </c>
      <c r="D110">
        <v>0.50099999999999767</v>
      </c>
      <c r="E110">
        <v>2.0819999999999999</v>
      </c>
      <c r="F110">
        <v>0.06</v>
      </c>
      <c r="G110">
        <v>7850</v>
      </c>
      <c r="H110">
        <v>0.38113802073351372</v>
      </c>
      <c r="I110">
        <v>1498.9586648417919</v>
      </c>
      <c r="J110" t="s">
        <v>38</v>
      </c>
      <c r="K110" t="s">
        <v>39</v>
      </c>
      <c r="L110" t="s">
        <v>38</v>
      </c>
      <c r="M110" t="s">
        <v>39</v>
      </c>
      <c r="N110">
        <v>0</v>
      </c>
      <c r="O110">
        <v>46.320000000001642</v>
      </c>
      <c r="P110" t="b">
        <v>1</v>
      </c>
      <c r="Q110">
        <v>0</v>
      </c>
      <c r="R110" t="b">
        <v>1</v>
      </c>
      <c r="S110">
        <v>1.3829999999999999E-3</v>
      </c>
      <c r="T110" t="b">
        <v>1</v>
      </c>
      <c r="U110" t="b">
        <v>1</v>
      </c>
      <c r="V110">
        <v>93829264.007057607</v>
      </c>
      <c r="W110">
        <v>80219761.280868009</v>
      </c>
      <c r="AE110" t="b">
        <v>0</v>
      </c>
      <c r="AF110" t="b">
        <v>0</v>
      </c>
      <c r="AG110">
        <v>62</v>
      </c>
      <c r="AH110">
        <v>58</v>
      </c>
      <c r="AI110">
        <v>-50.000999999999998</v>
      </c>
      <c r="AJ110">
        <v>-49.5</v>
      </c>
    </row>
    <row r="111" spans="1:36" x14ac:dyDescent="0.25">
      <c r="A111">
        <v>110</v>
      </c>
      <c r="B111" t="s">
        <v>36</v>
      </c>
      <c r="C111" t="s">
        <v>37</v>
      </c>
      <c r="D111">
        <v>0.50099999999999767</v>
      </c>
      <c r="E111">
        <v>2.0819999999999999</v>
      </c>
      <c r="F111">
        <v>0.06</v>
      </c>
      <c r="G111">
        <v>7850</v>
      </c>
      <c r="H111">
        <v>0.38113802073351372</v>
      </c>
      <c r="I111">
        <v>1498.9586648417919</v>
      </c>
      <c r="J111" t="s">
        <v>38</v>
      </c>
      <c r="K111" t="s">
        <v>39</v>
      </c>
      <c r="L111" t="s">
        <v>38</v>
      </c>
      <c r="M111" t="s">
        <v>39</v>
      </c>
      <c r="N111">
        <v>0</v>
      </c>
      <c r="O111">
        <v>45.86000000000157</v>
      </c>
      <c r="P111" t="b">
        <v>1</v>
      </c>
      <c r="Q111">
        <v>0</v>
      </c>
      <c r="R111" t="b">
        <v>1</v>
      </c>
      <c r="S111">
        <v>1.4469999999999999E-3</v>
      </c>
      <c r="T111" t="b">
        <v>1</v>
      </c>
      <c r="U111" t="b">
        <v>1</v>
      </c>
      <c r="V111">
        <v>93829264.007057607</v>
      </c>
      <c r="W111">
        <v>80219761.280868009</v>
      </c>
      <c r="AE111" t="b">
        <v>0</v>
      </c>
      <c r="AF111" t="b">
        <v>0</v>
      </c>
      <c r="AG111">
        <v>61</v>
      </c>
      <c r="AH111">
        <v>57</v>
      </c>
      <c r="AI111">
        <v>-50.000999999999998</v>
      </c>
      <c r="AJ111">
        <v>-49.5</v>
      </c>
    </row>
    <row r="112" spans="1:36" x14ac:dyDescent="0.25">
      <c r="A112">
        <v>111</v>
      </c>
      <c r="B112" t="s">
        <v>36</v>
      </c>
      <c r="C112" t="s">
        <v>37</v>
      </c>
      <c r="D112">
        <v>0.50099999999999767</v>
      </c>
      <c r="E112">
        <v>2.0819999999999999</v>
      </c>
      <c r="F112">
        <v>0.06</v>
      </c>
      <c r="G112">
        <v>7850</v>
      </c>
      <c r="H112">
        <v>0.38113802073351372</v>
      </c>
      <c r="I112">
        <v>1498.9586648417919</v>
      </c>
      <c r="J112" t="s">
        <v>38</v>
      </c>
      <c r="K112" t="s">
        <v>39</v>
      </c>
      <c r="L112" t="s">
        <v>38</v>
      </c>
      <c r="M112" t="s">
        <v>39</v>
      </c>
      <c r="N112">
        <v>0</v>
      </c>
      <c r="O112">
        <v>50.360000000002273</v>
      </c>
      <c r="P112" t="b">
        <v>1</v>
      </c>
      <c r="Q112">
        <v>0</v>
      </c>
      <c r="R112" t="b">
        <v>1</v>
      </c>
      <c r="S112">
        <v>1.5920000000000001E-3</v>
      </c>
      <c r="T112" t="b">
        <v>1</v>
      </c>
      <c r="U112" t="b">
        <v>1</v>
      </c>
      <c r="V112">
        <v>93829264.007057607</v>
      </c>
      <c r="W112">
        <v>80219761.280868009</v>
      </c>
      <c r="AE112" t="b">
        <v>0</v>
      </c>
      <c r="AF112" t="b">
        <v>0</v>
      </c>
      <c r="AG112">
        <v>64</v>
      </c>
      <c r="AH112">
        <v>60</v>
      </c>
      <c r="AI112">
        <v>-50.000999999999998</v>
      </c>
      <c r="AJ112">
        <v>-49.5</v>
      </c>
    </row>
    <row r="113" spans="1:36" x14ac:dyDescent="0.25">
      <c r="A113">
        <v>112</v>
      </c>
      <c r="B113" t="s">
        <v>36</v>
      </c>
      <c r="C113" t="s">
        <v>37</v>
      </c>
      <c r="D113">
        <v>0.50099999999999767</v>
      </c>
      <c r="E113">
        <v>2.0819999999999999</v>
      </c>
      <c r="F113">
        <v>0.06</v>
      </c>
      <c r="G113">
        <v>7850</v>
      </c>
      <c r="H113">
        <v>0.38113802073351372</v>
      </c>
      <c r="I113">
        <v>1498.9586648417919</v>
      </c>
      <c r="J113" t="s">
        <v>38</v>
      </c>
      <c r="K113" t="s">
        <v>39</v>
      </c>
      <c r="L113" t="s">
        <v>38</v>
      </c>
      <c r="M113" t="s">
        <v>39</v>
      </c>
      <c r="N113">
        <v>0</v>
      </c>
      <c r="O113">
        <v>50.180000000002252</v>
      </c>
      <c r="P113" t="b">
        <v>1</v>
      </c>
      <c r="Q113">
        <v>0</v>
      </c>
      <c r="R113" t="b">
        <v>1</v>
      </c>
      <c r="S113">
        <v>1.237E-3</v>
      </c>
      <c r="T113" t="b">
        <v>1</v>
      </c>
      <c r="U113" t="b">
        <v>1</v>
      </c>
      <c r="V113">
        <v>93829264.007057607</v>
      </c>
      <c r="W113">
        <v>80219761.280868009</v>
      </c>
      <c r="AE113" t="b">
        <v>0</v>
      </c>
      <c r="AF113" t="b">
        <v>0</v>
      </c>
      <c r="AG113">
        <v>63</v>
      </c>
      <c r="AH113">
        <v>59</v>
      </c>
      <c r="AI113">
        <v>-50.000999999999998</v>
      </c>
      <c r="AJ113">
        <v>-49.5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"/>
  <sheetViews>
    <sheetView workbookViewId="0">
      <selection activeCell="I116" sqref="I11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25">
      <c r="A2">
        <v>1</v>
      </c>
      <c r="B2" t="s">
        <v>36</v>
      </c>
      <c r="C2" t="s">
        <v>37</v>
      </c>
      <c r="D2">
        <v>0.5</v>
      </c>
      <c r="E2">
        <v>1.2</v>
      </c>
      <c r="F2">
        <v>0.05</v>
      </c>
      <c r="G2">
        <v>709.01819200704631</v>
      </c>
      <c r="H2" t="s">
        <v>38</v>
      </c>
      <c r="I2" t="s">
        <v>39</v>
      </c>
      <c r="J2" t="s">
        <v>38</v>
      </c>
      <c r="K2" t="s">
        <v>39</v>
      </c>
    </row>
    <row r="3" spans="1:11" x14ac:dyDescent="0.25">
      <c r="A3">
        <v>2</v>
      </c>
      <c r="B3" t="s">
        <v>36</v>
      </c>
      <c r="C3" t="s">
        <v>37</v>
      </c>
      <c r="D3">
        <v>1.000089495995236</v>
      </c>
      <c r="E3">
        <v>1.2</v>
      </c>
      <c r="F3">
        <v>0.05</v>
      </c>
      <c r="G3">
        <v>1418.163292591561</v>
      </c>
      <c r="H3" t="s">
        <v>38</v>
      </c>
      <c r="I3" t="s">
        <v>39</v>
      </c>
      <c r="J3" t="s">
        <v>38</v>
      </c>
      <c r="K3" t="s">
        <v>39</v>
      </c>
    </row>
    <row r="4" spans="1:11" x14ac:dyDescent="0.25">
      <c r="A4">
        <v>3</v>
      </c>
      <c r="B4" t="s">
        <v>36</v>
      </c>
      <c r="C4" t="s">
        <v>37</v>
      </c>
      <c r="D4">
        <v>0.87489656531500426</v>
      </c>
      <c r="E4">
        <v>1.2</v>
      </c>
      <c r="F4">
        <v>0.05</v>
      </c>
      <c r="G4">
        <v>1240.6351618656381</v>
      </c>
      <c r="H4" t="s">
        <v>38</v>
      </c>
      <c r="I4" t="s">
        <v>39</v>
      </c>
      <c r="J4" t="s">
        <v>38</v>
      </c>
      <c r="K4" t="s">
        <v>39</v>
      </c>
    </row>
    <row r="5" spans="1:11" x14ac:dyDescent="0.25">
      <c r="A5">
        <v>4</v>
      </c>
      <c r="B5" t="s">
        <v>36</v>
      </c>
      <c r="C5" t="s">
        <v>37</v>
      </c>
      <c r="D5">
        <v>18.53282603922025</v>
      </c>
      <c r="E5">
        <v>1.2</v>
      </c>
      <c r="F5">
        <v>0.05</v>
      </c>
      <c r="G5">
        <v>26280.221622218101</v>
      </c>
      <c r="H5" t="s">
        <v>38</v>
      </c>
      <c r="I5" t="s">
        <v>39</v>
      </c>
      <c r="J5" t="s">
        <v>38</v>
      </c>
      <c r="K5" t="s">
        <v>39</v>
      </c>
    </row>
    <row r="6" spans="1:11" x14ac:dyDescent="0.25">
      <c r="A6">
        <v>5</v>
      </c>
      <c r="B6" t="s">
        <v>36</v>
      </c>
      <c r="C6" t="s">
        <v>37</v>
      </c>
      <c r="D6">
        <v>0.5</v>
      </c>
      <c r="E6">
        <v>1.2</v>
      </c>
      <c r="F6">
        <v>0.05</v>
      </c>
      <c r="G6">
        <v>709.01819200704631</v>
      </c>
      <c r="H6" t="s">
        <v>38</v>
      </c>
      <c r="I6" t="s">
        <v>39</v>
      </c>
      <c r="J6" t="s">
        <v>38</v>
      </c>
      <c r="K6" t="s">
        <v>39</v>
      </c>
    </row>
    <row r="7" spans="1:11" x14ac:dyDescent="0.25">
      <c r="A7">
        <v>6</v>
      </c>
      <c r="B7" t="s">
        <v>36</v>
      </c>
      <c r="C7" t="s">
        <v>37</v>
      </c>
      <c r="D7">
        <v>1.000089495995236</v>
      </c>
      <c r="E7">
        <v>1.2</v>
      </c>
      <c r="F7">
        <v>0.05</v>
      </c>
      <c r="G7">
        <v>1418.163292591561</v>
      </c>
      <c r="H7" t="s">
        <v>38</v>
      </c>
      <c r="I7" t="s">
        <v>39</v>
      </c>
      <c r="J7" t="s">
        <v>38</v>
      </c>
      <c r="K7" t="s">
        <v>39</v>
      </c>
    </row>
    <row r="8" spans="1:11" x14ac:dyDescent="0.25">
      <c r="A8">
        <v>7</v>
      </c>
      <c r="B8" t="s">
        <v>36</v>
      </c>
      <c r="C8" t="s">
        <v>37</v>
      </c>
      <c r="D8">
        <v>0.87489656531500426</v>
      </c>
      <c r="E8">
        <v>1.2</v>
      </c>
      <c r="F8">
        <v>0.05</v>
      </c>
      <c r="G8">
        <v>1240.6351618656381</v>
      </c>
      <c r="H8" t="s">
        <v>38</v>
      </c>
      <c r="I8" t="s">
        <v>39</v>
      </c>
      <c r="J8" t="s">
        <v>38</v>
      </c>
      <c r="K8" t="s">
        <v>39</v>
      </c>
    </row>
    <row r="9" spans="1:11" x14ac:dyDescent="0.25">
      <c r="A9">
        <v>8</v>
      </c>
      <c r="B9" t="s">
        <v>36</v>
      </c>
      <c r="C9" t="s">
        <v>37</v>
      </c>
      <c r="D9">
        <v>18.53282603922025</v>
      </c>
      <c r="E9">
        <v>1.2</v>
      </c>
      <c r="F9">
        <v>0.05</v>
      </c>
      <c r="G9">
        <v>26280.221622218101</v>
      </c>
      <c r="H9" t="s">
        <v>38</v>
      </c>
      <c r="I9" t="s">
        <v>39</v>
      </c>
      <c r="J9" t="s">
        <v>38</v>
      </c>
      <c r="K9" t="s">
        <v>39</v>
      </c>
    </row>
    <row r="10" spans="1:11" x14ac:dyDescent="0.25">
      <c r="A10">
        <v>9</v>
      </c>
      <c r="B10" t="s">
        <v>36</v>
      </c>
      <c r="C10" t="s">
        <v>37</v>
      </c>
      <c r="D10">
        <v>0.5</v>
      </c>
      <c r="E10">
        <v>1.2</v>
      </c>
      <c r="F10">
        <v>0.05</v>
      </c>
      <c r="G10">
        <v>709.01819200704631</v>
      </c>
      <c r="H10" t="s">
        <v>38</v>
      </c>
      <c r="I10" t="s">
        <v>39</v>
      </c>
      <c r="J10" t="s">
        <v>38</v>
      </c>
      <c r="K10" t="s">
        <v>39</v>
      </c>
    </row>
    <row r="11" spans="1:11" x14ac:dyDescent="0.25">
      <c r="A11">
        <v>10</v>
      </c>
      <c r="B11" t="s">
        <v>36</v>
      </c>
      <c r="C11" t="s">
        <v>37</v>
      </c>
      <c r="D11">
        <v>1.000089495995236</v>
      </c>
      <c r="E11">
        <v>1.2</v>
      </c>
      <c r="F11">
        <v>0.05</v>
      </c>
      <c r="G11">
        <v>1418.163292591561</v>
      </c>
      <c r="H11" t="s">
        <v>38</v>
      </c>
      <c r="I11" t="s">
        <v>39</v>
      </c>
      <c r="J11" t="s">
        <v>38</v>
      </c>
      <c r="K11" t="s">
        <v>39</v>
      </c>
    </row>
    <row r="12" spans="1:11" x14ac:dyDescent="0.25">
      <c r="A12">
        <v>11</v>
      </c>
      <c r="B12" t="s">
        <v>36</v>
      </c>
      <c r="C12" t="s">
        <v>37</v>
      </c>
      <c r="D12">
        <v>0.87489656531500426</v>
      </c>
      <c r="E12">
        <v>1.2</v>
      </c>
      <c r="F12">
        <v>0.05</v>
      </c>
      <c r="G12">
        <v>1240.6351618656381</v>
      </c>
      <c r="H12" t="s">
        <v>38</v>
      </c>
      <c r="I12" t="s">
        <v>39</v>
      </c>
      <c r="J12" t="s">
        <v>38</v>
      </c>
      <c r="K12" t="s">
        <v>39</v>
      </c>
    </row>
    <row r="13" spans="1:11" x14ac:dyDescent="0.25">
      <c r="A13">
        <v>12</v>
      </c>
      <c r="B13" t="s">
        <v>36</v>
      </c>
      <c r="C13" t="s">
        <v>37</v>
      </c>
      <c r="D13">
        <v>18.53282603922025</v>
      </c>
      <c r="E13">
        <v>1.2</v>
      </c>
      <c r="F13">
        <v>0.05</v>
      </c>
      <c r="G13">
        <v>26280.221622218101</v>
      </c>
      <c r="H13" t="s">
        <v>38</v>
      </c>
      <c r="I13" t="s">
        <v>39</v>
      </c>
      <c r="J13" t="s">
        <v>38</v>
      </c>
      <c r="K13" t="s">
        <v>39</v>
      </c>
    </row>
    <row r="14" spans="1:11" x14ac:dyDescent="0.25">
      <c r="A14">
        <v>13</v>
      </c>
      <c r="B14" t="s">
        <v>36</v>
      </c>
      <c r="C14" t="s">
        <v>37</v>
      </c>
      <c r="D14">
        <v>0.5</v>
      </c>
      <c r="E14">
        <v>1.2</v>
      </c>
      <c r="F14">
        <v>0.05</v>
      </c>
      <c r="G14">
        <v>709.01819200704631</v>
      </c>
      <c r="H14" t="s">
        <v>38</v>
      </c>
      <c r="I14" t="s">
        <v>39</v>
      </c>
      <c r="J14" t="s">
        <v>38</v>
      </c>
      <c r="K14" t="s">
        <v>39</v>
      </c>
    </row>
    <row r="15" spans="1:11" x14ac:dyDescent="0.25">
      <c r="A15">
        <v>14</v>
      </c>
      <c r="B15" t="s">
        <v>36</v>
      </c>
      <c r="C15" t="s">
        <v>37</v>
      </c>
      <c r="D15">
        <v>1.000089495995236</v>
      </c>
      <c r="E15">
        <v>1.2</v>
      </c>
      <c r="F15">
        <v>0.05</v>
      </c>
      <c r="G15">
        <v>1418.163292591561</v>
      </c>
      <c r="H15" t="s">
        <v>38</v>
      </c>
      <c r="I15" t="s">
        <v>39</v>
      </c>
      <c r="J15" t="s">
        <v>38</v>
      </c>
      <c r="K15" t="s">
        <v>39</v>
      </c>
    </row>
    <row r="16" spans="1:11" x14ac:dyDescent="0.25">
      <c r="A16">
        <v>15</v>
      </c>
      <c r="B16" t="s">
        <v>36</v>
      </c>
      <c r="C16" t="s">
        <v>37</v>
      </c>
      <c r="D16">
        <v>0.87489656531500426</v>
      </c>
      <c r="E16">
        <v>1.2</v>
      </c>
      <c r="F16">
        <v>0.05</v>
      </c>
      <c r="G16">
        <v>1240.6351618656381</v>
      </c>
      <c r="H16" t="s">
        <v>38</v>
      </c>
      <c r="I16" t="s">
        <v>39</v>
      </c>
      <c r="J16" t="s">
        <v>38</v>
      </c>
      <c r="K16" t="s">
        <v>39</v>
      </c>
    </row>
    <row r="17" spans="1:11" x14ac:dyDescent="0.25">
      <c r="A17">
        <v>16</v>
      </c>
      <c r="B17" t="s">
        <v>36</v>
      </c>
      <c r="C17" t="s">
        <v>37</v>
      </c>
      <c r="D17">
        <v>18.53282603922025</v>
      </c>
      <c r="E17">
        <v>1.2</v>
      </c>
      <c r="F17">
        <v>0.05</v>
      </c>
      <c r="G17">
        <v>26280.221622218101</v>
      </c>
      <c r="H17" t="s">
        <v>38</v>
      </c>
      <c r="I17" t="s">
        <v>39</v>
      </c>
      <c r="J17" t="s">
        <v>38</v>
      </c>
      <c r="K17" t="s">
        <v>39</v>
      </c>
    </row>
    <row r="18" spans="1:11" x14ac:dyDescent="0.25">
      <c r="A18">
        <v>17</v>
      </c>
      <c r="B18" t="s">
        <v>36</v>
      </c>
      <c r="C18" t="s">
        <v>37</v>
      </c>
      <c r="D18">
        <v>15.70876194994373</v>
      </c>
      <c r="E18">
        <v>1.2</v>
      </c>
      <c r="F18">
        <v>3.5000000000000003E-2</v>
      </c>
      <c r="G18">
        <v>15796.3030714418</v>
      </c>
      <c r="H18" t="s">
        <v>38</v>
      </c>
      <c r="I18" t="s">
        <v>39</v>
      </c>
      <c r="J18" t="s">
        <v>38</v>
      </c>
      <c r="K18" t="s">
        <v>39</v>
      </c>
    </row>
    <row r="19" spans="1:11" x14ac:dyDescent="0.25">
      <c r="A19">
        <v>18</v>
      </c>
      <c r="B19" t="s">
        <v>40</v>
      </c>
      <c r="C19" t="s">
        <v>37</v>
      </c>
      <c r="D19">
        <v>13.314219841958449</v>
      </c>
      <c r="E19">
        <v>1.2</v>
      </c>
      <c r="F19">
        <v>3.5000000000000003E-2</v>
      </c>
      <c r="G19">
        <v>13388.416760885029</v>
      </c>
      <c r="H19" t="s">
        <v>41</v>
      </c>
      <c r="I19" t="s">
        <v>42</v>
      </c>
      <c r="J19" t="s">
        <v>41</v>
      </c>
      <c r="K19" t="s">
        <v>42</v>
      </c>
    </row>
    <row r="20" spans="1:11" x14ac:dyDescent="0.25">
      <c r="A20">
        <v>19</v>
      </c>
      <c r="B20" t="s">
        <v>40</v>
      </c>
      <c r="C20" t="s">
        <v>37</v>
      </c>
      <c r="D20">
        <v>11.28507204230438</v>
      </c>
      <c r="E20">
        <v>1.2</v>
      </c>
      <c r="F20">
        <v>3.5000000000000003E-2</v>
      </c>
      <c r="G20">
        <v>11347.96101254391</v>
      </c>
      <c r="H20" t="s">
        <v>41</v>
      </c>
      <c r="I20" t="s">
        <v>42</v>
      </c>
      <c r="J20" t="s">
        <v>41</v>
      </c>
      <c r="K20" t="s">
        <v>42</v>
      </c>
    </row>
    <row r="21" spans="1:11" x14ac:dyDescent="0.25">
      <c r="A21">
        <v>20</v>
      </c>
      <c r="B21" t="s">
        <v>43</v>
      </c>
      <c r="C21" t="s">
        <v>37</v>
      </c>
      <c r="D21">
        <v>0.49951276259971461</v>
      </c>
      <c r="E21">
        <v>1.2</v>
      </c>
      <c r="F21">
        <v>3.5000000000000003E-2</v>
      </c>
      <c r="G21">
        <v>502.29642611055749</v>
      </c>
      <c r="H21" t="s">
        <v>38</v>
      </c>
      <c r="I21" t="s">
        <v>39</v>
      </c>
      <c r="J21" t="s">
        <v>38</v>
      </c>
      <c r="K21" t="s">
        <v>39</v>
      </c>
    </row>
    <row r="22" spans="1:11" x14ac:dyDescent="0.25">
      <c r="A22">
        <v>21</v>
      </c>
      <c r="B22" t="s">
        <v>36</v>
      </c>
      <c r="C22" t="s">
        <v>37</v>
      </c>
      <c r="D22">
        <v>15.70876194994373</v>
      </c>
      <c r="E22">
        <v>1.2</v>
      </c>
      <c r="F22">
        <v>3.5000000000000003E-2</v>
      </c>
      <c r="G22">
        <v>15796.3030714418</v>
      </c>
      <c r="H22" t="s">
        <v>38</v>
      </c>
      <c r="I22" t="s">
        <v>39</v>
      </c>
      <c r="J22" t="s">
        <v>38</v>
      </c>
      <c r="K22" t="s">
        <v>39</v>
      </c>
    </row>
    <row r="23" spans="1:11" x14ac:dyDescent="0.25">
      <c r="A23">
        <v>22</v>
      </c>
      <c r="B23" t="s">
        <v>40</v>
      </c>
      <c r="C23" t="s">
        <v>37</v>
      </c>
      <c r="D23">
        <v>13.314219841958449</v>
      </c>
      <c r="E23">
        <v>1.2</v>
      </c>
      <c r="F23">
        <v>3.5000000000000003E-2</v>
      </c>
      <c r="G23">
        <v>13388.416760885029</v>
      </c>
      <c r="H23" t="s">
        <v>41</v>
      </c>
      <c r="I23" t="s">
        <v>42</v>
      </c>
      <c r="J23" t="s">
        <v>41</v>
      </c>
      <c r="K23" t="s">
        <v>42</v>
      </c>
    </row>
    <row r="24" spans="1:11" x14ac:dyDescent="0.25">
      <c r="A24">
        <v>23</v>
      </c>
      <c r="B24" t="s">
        <v>40</v>
      </c>
      <c r="C24" t="s">
        <v>37</v>
      </c>
      <c r="D24">
        <v>11.28507204230438</v>
      </c>
      <c r="E24">
        <v>1.2</v>
      </c>
      <c r="F24">
        <v>3.5000000000000003E-2</v>
      </c>
      <c r="G24">
        <v>11347.96101254391</v>
      </c>
      <c r="H24" t="s">
        <v>41</v>
      </c>
      <c r="I24" t="s">
        <v>42</v>
      </c>
      <c r="J24" t="s">
        <v>41</v>
      </c>
      <c r="K24" t="s">
        <v>42</v>
      </c>
    </row>
    <row r="25" spans="1:11" x14ac:dyDescent="0.25">
      <c r="A25">
        <v>24</v>
      </c>
      <c r="B25" t="s">
        <v>43</v>
      </c>
      <c r="C25" t="s">
        <v>37</v>
      </c>
      <c r="D25">
        <v>0.49951276259971461</v>
      </c>
      <c r="E25">
        <v>1.2</v>
      </c>
      <c r="F25">
        <v>3.5000000000000003E-2</v>
      </c>
      <c r="G25">
        <v>502.29642611055749</v>
      </c>
      <c r="H25" t="s">
        <v>38</v>
      </c>
      <c r="I25" t="s">
        <v>39</v>
      </c>
      <c r="J25" t="s">
        <v>38</v>
      </c>
      <c r="K25" t="s">
        <v>39</v>
      </c>
    </row>
    <row r="26" spans="1:11" x14ac:dyDescent="0.25">
      <c r="A26">
        <v>25</v>
      </c>
      <c r="B26" t="s">
        <v>36</v>
      </c>
      <c r="C26" t="s">
        <v>37</v>
      </c>
      <c r="D26">
        <v>15.70876194994373</v>
      </c>
      <c r="E26">
        <v>1.2</v>
      </c>
      <c r="F26">
        <v>3.5000000000000003E-2</v>
      </c>
      <c r="G26">
        <v>15796.3030714418</v>
      </c>
      <c r="H26" t="s">
        <v>38</v>
      </c>
      <c r="I26" t="s">
        <v>39</v>
      </c>
      <c r="J26" t="s">
        <v>38</v>
      </c>
      <c r="K26" t="s">
        <v>39</v>
      </c>
    </row>
    <row r="27" spans="1:11" x14ac:dyDescent="0.25">
      <c r="A27">
        <v>26</v>
      </c>
      <c r="B27" t="s">
        <v>40</v>
      </c>
      <c r="C27" t="s">
        <v>37</v>
      </c>
      <c r="D27">
        <v>13.314219841958449</v>
      </c>
      <c r="E27">
        <v>1.2</v>
      </c>
      <c r="F27">
        <v>3.5000000000000003E-2</v>
      </c>
      <c r="G27">
        <v>13388.416760885029</v>
      </c>
      <c r="H27" t="s">
        <v>41</v>
      </c>
      <c r="I27" t="s">
        <v>42</v>
      </c>
      <c r="J27" t="s">
        <v>41</v>
      </c>
      <c r="K27" t="s">
        <v>42</v>
      </c>
    </row>
    <row r="28" spans="1:11" x14ac:dyDescent="0.25">
      <c r="A28">
        <v>27</v>
      </c>
      <c r="B28" t="s">
        <v>40</v>
      </c>
      <c r="C28" t="s">
        <v>37</v>
      </c>
      <c r="D28">
        <v>11.28507204230438</v>
      </c>
      <c r="E28">
        <v>1.2</v>
      </c>
      <c r="F28">
        <v>3.5000000000000003E-2</v>
      </c>
      <c r="G28">
        <v>11347.96101254391</v>
      </c>
      <c r="H28" t="s">
        <v>41</v>
      </c>
      <c r="I28" t="s">
        <v>42</v>
      </c>
      <c r="J28" t="s">
        <v>41</v>
      </c>
      <c r="K28" t="s">
        <v>42</v>
      </c>
    </row>
    <row r="29" spans="1:11" x14ac:dyDescent="0.25">
      <c r="A29">
        <v>28</v>
      </c>
      <c r="B29" t="s">
        <v>43</v>
      </c>
      <c r="C29" t="s">
        <v>37</v>
      </c>
      <c r="D29">
        <v>0.49951276259971461</v>
      </c>
      <c r="E29">
        <v>1.2</v>
      </c>
      <c r="F29">
        <v>3.5000000000000003E-2</v>
      </c>
      <c r="G29">
        <v>502.29642611055749</v>
      </c>
      <c r="H29" t="s">
        <v>38</v>
      </c>
      <c r="I29" t="s">
        <v>39</v>
      </c>
      <c r="J29" t="s">
        <v>38</v>
      </c>
      <c r="K29" t="s">
        <v>39</v>
      </c>
    </row>
    <row r="30" spans="1:11" x14ac:dyDescent="0.25">
      <c r="A30">
        <v>29</v>
      </c>
      <c r="B30" t="s">
        <v>36</v>
      </c>
      <c r="C30" t="s">
        <v>37</v>
      </c>
      <c r="D30">
        <v>15.70876194994373</v>
      </c>
      <c r="E30">
        <v>1.2</v>
      </c>
      <c r="F30">
        <v>3.5000000000000003E-2</v>
      </c>
      <c r="G30">
        <v>15796.3030714418</v>
      </c>
      <c r="H30" t="s">
        <v>38</v>
      </c>
      <c r="I30" t="s">
        <v>39</v>
      </c>
      <c r="J30" t="s">
        <v>38</v>
      </c>
      <c r="K30" t="s">
        <v>39</v>
      </c>
    </row>
    <row r="31" spans="1:11" x14ac:dyDescent="0.25">
      <c r="A31">
        <v>30</v>
      </c>
      <c r="B31" t="s">
        <v>40</v>
      </c>
      <c r="C31" t="s">
        <v>37</v>
      </c>
      <c r="D31">
        <v>13.314219841958449</v>
      </c>
      <c r="E31">
        <v>1.2</v>
      </c>
      <c r="F31">
        <v>3.5000000000000003E-2</v>
      </c>
      <c r="G31">
        <v>13388.416760885029</v>
      </c>
      <c r="H31" t="s">
        <v>41</v>
      </c>
      <c r="I31" t="s">
        <v>42</v>
      </c>
      <c r="J31" t="s">
        <v>41</v>
      </c>
      <c r="K31" t="s">
        <v>42</v>
      </c>
    </row>
    <row r="32" spans="1:11" x14ac:dyDescent="0.25">
      <c r="A32">
        <v>31</v>
      </c>
      <c r="B32" t="s">
        <v>40</v>
      </c>
      <c r="C32" t="s">
        <v>37</v>
      </c>
      <c r="D32">
        <v>11.28507204230438</v>
      </c>
      <c r="E32">
        <v>1.2</v>
      </c>
      <c r="F32">
        <v>3.5000000000000003E-2</v>
      </c>
      <c r="G32">
        <v>11347.96101254391</v>
      </c>
      <c r="H32" t="s">
        <v>41</v>
      </c>
      <c r="I32" t="s">
        <v>42</v>
      </c>
      <c r="J32" t="s">
        <v>41</v>
      </c>
      <c r="K32" t="s">
        <v>42</v>
      </c>
    </row>
    <row r="33" spans="1:11" x14ac:dyDescent="0.25">
      <c r="A33">
        <v>32</v>
      </c>
      <c r="B33" t="s">
        <v>43</v>
      </c>
      <c r="C33" t="s">
        <v>37</v>
      </c>
      <c r="D33">
        <v>0.49951276259971461</v>
      </c>
      <c r="E33">
        <v>1.2</v>
      </c>
      <c r="F33">
        <v>3.5000000000000003E-2</v>
      </c>
      <c r="G33">
        <v>502.29642611055749</v>
      </c>
      <c r="H33" t="s">
        <v>38</v>
      </c>
      <c r="I33" t="s">
        <v>39</v>
      </c>
      <c r="J33" t="s">
        <v>38</v>
      </c>
      <c r="K33" t="s">
        <v>39</v>
      </c>
    </row>
    <row r="34" spans="1:11" x14ac:dyDescent="0.25">
      <c r="A34">
        <v>33</v>
      </c>
      <c r="B34" t="s">
        <v>36</v>
      </c>
      <c r="C34" t="s">
        <v>44</v>
      </c>
      <c r="D34">
        <v>11.933999999999999</v>
      </c>
      <c r="E34">
        <v>0.8</v>
      </c>
      <c r="F34">
        <v>0.02</v>
      </c>
      <c r="G34">
        <v>4591.2417535036047</v>
      </c>
      <c r="H34" t="s">
        <v>38</v>
      </c>
      <c r="I34" t="s">
        <v>39</v>
      </c>
      <c r="J34" t="s">
        <v>38</v>
      </c>
      <c r="K34" t="s">
        <v>39</v>
      </c>
    </row>
    <row r="35" spans="1:11" x14ac:dyDescent="0.25">
      <c r="A35">
        <v>34</v>
      </c>
      <c r="B35" t="s">
        <v>36</v>
      </c>
      <c r="C35" t="s">
        <v>44</v>
      </c>
      <c r="D35">
        <v>11.933999999999999</v>
      </c>
      <c r="E35">
        <v>0.8</v>
      </c>
      <c r="F35">
        <v>0.02</v>
      </c>
      <c r="G35">
        <v>4591.2417535036047</v>
      </c>
      <c r="H35" t="s">
        <v>38</v>
      </c>
      <c r="I35" t="s">
        <v>39</v>
      </c>
      <c r="J35" t="s">
        <v>38</v>
      </c>
      <c r="K35" t="s">
        <v>39</v>
      </c>
    </row>
    <row r="36" spans="1:11" x14ac:dyDescent="0.25">
      <c r="A36">
        <v>35</v>
      </c>
      <c r="B36" t="s">
        <v>36</v>
      </c>
      <c r="C36" t="s">
        <v>44</v>
      </c>
      <c r="D36">
        <v>11.933999999999999</v>
      </c>
      <c r="E36">
        <v>0.8</v>
      </c>
      <c r="F36">
        <v>0.02</v>
      </c>
      <c r="G36">
        <v>4591.2417535036047</v>
      </c>
      <c r="H36" t="s">
        <v>38</v>
      </c>
      <c r="I36" t="s">
        <v>39</v>
      </c>
      <c r="J36" t="s">
        <v>38</v>
      </c>
      <c r="K36" t="s">
        <v>39</v>
      </c>
    </row>
    <row r="37" spans="1:11" x14ac:dyDescent="0.25">
      <c r="A37">
        <v>36</v>
      </c>
      <c r="B37" t="s">
        <v>36</v>
      </c>
      <c r="C37" t="s">
        <v>44</v>
      </c>
      <c r="D37">
        <v>11.933999999999999</v>
      </c>
      <c r="E37">
        <v>0.8</v>
      </c>
      <c r="F37">
        <v>0.02</v>
      </c>
      <c r="G37">
        <v>4591.2417535036047</v>
      </c>
      <c r="H37" t="s">
        <v>38</v>
      </c>
      <c r="I37" t="s">
        <v>39</v>
      </c>
      <c r="J37" t="s">
        <v>38</v>
      </c>
      <c r="K37" t="s">
        <v>39</v>
      </c>
    </row>
    <row r="38" spans="1:11" x14ac:dyDescent="0.25">
      <c r="A38">
        <v>37</v>
      </c>
      <c r="B38" t="s">
        <v>36</v>
      </c>
      <c r="C38" t="s">
        <v>44</v>
      </c>
      <c r="D38">
        <v>11.424272318182901</v>
      </c>
      <c r="E38">
        <v>0.8</v>
      </c>
      <c r="F38">
        <v>0.02</v>
      </c>
      <c r="G38">
        <v>4395.1396070585524</v>
      </c>
      <c r="H38" t="s">
        <v>38</v>
      </c>
      <c r="I38" t="s">
        <v>39</v>
      </c>
      <c r="J38" t="s">
        <v>38</v>
      </c>
      <c r="K38" t="s">
        <v>39</v>
      </c>
    </row>
    <row r="39" spans="1:11" x14ac:dyDescent="0.25">
      <c r="A39">
        <v>38</v>
      </c>
      <c r="B39" t="s">
        <v>36</v>
      </c>
      <c r="C39" t="s">
        <v>44</v>
      </c>
      <c r="D39">
        <v>10.25881762192895</v>
      </c>
      <c r="E39">
        <v>0.8</v>
      </c>
      <c r="F39">
        <v>0.02</v>
      </c>
      <c r="G39">
        <v>3946.766533214241</v>
      </c>
      <c r="H39" t="s">
        <v>38</v>
      </c>
      <c r="I39" t="s">
        <v>39</v>
      </c>
      <c r="J39" t="s">
        <v>38</v>
      </c>
      <c r="K39" t="s">
        <v>39</v>
      </c>
    </row>
    <row r="40" spans="1:11" x14ac:dyDescent="0.25">
      <c r="A40">
        <v>39</v>
      </c>
      <c r="B40" t="s">
        <v>36</v>
      </c>
      <c r="C40" t="s">
        <v>44</v>
      </c>
      <c r="D40">
        <v>11.424272318182901</v>
      </c>
      <c r="E40">
        <v>0.8</v>
      </c>
      <c r="F40">
        <v>0.02</v>
      </c>
      <c r="G40">
        <v>4395.1396070585524</v>
      </c>
      <c r="H40" t="s">
        <v>38</v>
      </c>
      <c r="I40" t="s">
        <v>39</v>
      </c>
      <c r="J40" t="s">
        <v>38</v>
      </c>
      <c r="K40" t="s">
        <v>39</v>
      </c>
    </row>
    <row r="41" spans="1:11" x14ac:dyDescent="0.25">
      <c r="A41">
        <v>40</v>
      </c>
      <c r="B41" t="s">
        <v>36</v>
      </c>
      <c r="C41" t="s">
        <v>44</v>
      </c>
      <c r="D41">
        <v>10.25881762192895</v>
      </c>
      <c r="E41">
        <v>0.8</v>
      </c>
      <c r="F41">
        <v>0.02</v>
      </c>
      <c r="G41">
        <v>3946.766533214241</v>
      </c>
      <c r="H41" t="s">
        <v>38</v>
      </c>
      <c r="I41" t="s">
        <v>39</v>
      </c>
      <c r="J41" t="s">
        <v>38</v>
      </c>
      <c r="K41" t="s">
        <v>39</v>
      </c>
    </row>
    <row r="42" spans="1:11" x14ac:dyDescent="0.25">
      <c r="A42">
        <v>41</v>
      </c>
      <c r="B42" t="s">
        <v>36</v>
      </c>
      <c r="C42" t="s">
        <v>44</v>
      </c>
      <c r="D42">
        <v>11.424272318182901</v>
      </c>
      <c r="E42">
        <v>0.8</v>
      </c>
      <c r="F42">
        <v>0.02</v>
      </c>
      <c r="G42">
        <v>4395.1396070585524</v>
      </c>
      <c r="H42" t="s">
        <v>38</v>
      </c>
      <c r="I42" t="s">
        <v>39</v>
      </c>
      <c r="J42" t="s">
        <v>38</v>
      </c>
      <c r="K42" t="s">
        <v>39</v>
      </c>
    </row>
    <row r="43" spans="1:11" x14ac:dyDescent="0.25">
      <c r="A43">
        <v>42</v>
      </c>
      <c r="B43" t="s">
        <v>36</v>
      </c>
      <c r="C43" t="s">
        <v>44</v>
      </c>
      <c r="D43">
        <v>10.25881762192895</v>
      </c>
      <c r="E43">
        <v>0.8</v>
      </c>
      <c r="F43">
        <v>0.02</v>
      </c>
      <c r="G43">
        <v>3946.766533214241</v>
      </c>
      <c r="H43" t="s">
        <v>38</v>
      </c>
      <c r="I43" t="s">
        <v>39</v>
      </c>
      <c r="J43" t="s">
        <v>38</v>
      </c>
      <c r="K43" t="s">
        <v>39</v>
      </c>
    </row>
    <row r="44" spans="1:11" x14ac:dyDescent="0.25">
      <c r="A44">
        <v>43</v>
      </c>
      <c r="B44" t="s">
        <v>36</v>
      </c>
      <c r="C44" t="s">
        <v>44</v>
      </c>
      <c r="D44">
        <v>11.424272318182901</v>
      </c>
      <c r="E44">
        <v>0.8</v>
      </c>
      <c r="F44">
        <v>0.02</v>
      </c>
      <c r="G44">
        <v>4395.1396070585524</v>
      </c>
      <c r="H44" t="s">
        <v>38</v>
      </c>
      <c r="I44" t="s">
        <v>39</v>
      </c>
      <c r="J44" t="s">
        <v>38</v>
      </c>
      <c r="K44" t="s">
        <v>39</v>
      </c>
    </row>
    <row r="45" spans="1:11" x14ac:dyDescent="0.25">
      <c r="A45">
        <v>44</v>
      </c>
      <c r="B45" t="s">
        <v>36</v>
      </c>
      <c r="C45" t="s">
        <v>44</v>
      </c>
      <c r="D45">
        <v>10.25881762192895</v>
      </c>
      <c r="E45">
        <v>0.8</v>
      </c>
      <c r="F45">
        <v>0.02</v>
      </c>
      <c r="G45">
        <v>3946.766533214241</v>
      </c>
      <c r="H45" t="s">
        <v>38</v>
      </c>
      <c r="I45" t="s">
        <v>39</v>
      </c>
      <c r="J45" t="s">
        <v>38</v>
      </c>
      <c r="K45" t="s">
        <v>39</v>
      </c>
    </row>
    <row r="46" spans="1:11" x14ac:dyDescent="0.25">
      <c r="A46">
        <v>45</v>
      </c>
      <c r="B46" t="s">
        <v>36</v>
      </c>
      <c r="C46" t="s">
        <v>44</v>
      </c>
      <c r="D46">
        <v>11.424272318182901</v>
      </c>
      <c r="E46">
        <v>0.8</v>
      </c>
      <c r="F46">
        <v>0.02</v>
      </c>
      <c r="G46">
        <v>4395.1396070585524</v>
      </c>
      <c r="H46" t="s">
        <v>38</v>
      </c>
      <c r="I46" t="s">
        <v>39</v>
      </c>
      <c r="J46" t="s">
        <v>38</v>
      </c>
      <c r="K46" t="s">
        <v>39</v>
      </c>
    </row>
    <row r="47" spans="1:11" x14ac:dyDescent="0.25">
      <c r="A47">
        <v>46</v>
      </c>
      <c r="B47" t="s">
        <v>36</v>
      </c>
      <c r="C47" t="s">
        <v>44</v>
      </c>
      <c r="D47">
        <v>10.25881762192895</v>
      </c>
      <c r="E47">
        <v>0.8</v>
      </c>
      <c r="F47">
        <v>0.02</v>
      </c>
      <c r="G47">
        <v>3946.766533214241</v>
      </c>
      <c r="H47" t="s">
        <v>38</v>
      </c>
      <c r="I47" t="s">
        <v>39</v>
      </c>
      <c r="J47" t="s">
        <v>38</v>
      </c>
      <c r="K47" t="s">
        <v>39</v>
      </c>
    </row>
    <row r="48" spans="1:11" x14ac:dyDescent="0.25">
      <c r="A48">
        <v>47</v>
      </c>
      <c r="B48" t="s">
        <v>36</v>
      </c>
      <c r="C48" t="s">
        <v>44</v>
      </c>
      <c r="D48">
        <v>11.424272318182901</v>
      </c>
      <c r="E48">
        <v>0.8</v>
      </c>
      <c r="F48">
        <v>0.02</v>
      </c>
      <c r="G48">
        <v>4395.1396070585524</v>
      </c>
      <c r="H48" t="s">
        <v>38</v>
      </c>
      <c r="I48" t="s">
        <v>39</v>
      </c>
      <c r="J48" t="s">
        <v>38</v>
      </c>
      <c r="K48" t="s">
        <v>39</v>
      </c>
    </row>
    <row r="49" spans="1:11" x14ac:dyDescent="0.25">
      <c r="A49">
        <v>48</v>
      </c>
      <c r="B49" t="s">
        <v>36</v>
      </c>
      <c r="C49" t="s">
        <v>44</v>
      </c>
      <c r="D49">
        <v>10.25881762192895</v>
      </c>
      <c r="E49">
        <v>0.8</v>
      </c>
      <c r="F49">
        <v>0.02</v>
      </c>
      <c r="G49">
        <v>3946.766533214241</v>
      </c>
      <c r="H49" t="s">
        <v>38</v>
      </c>
      <c r="I49" t="s">
        <v>39</v>
      </c>
      <c r="J49" t="s">
        <v>38</v>
      </c>
      <c r="K49" t="s">
        <v>39</v>
      </c>
    </row>
    <row r="50" spans="1:11" x14ac:dyDescent="0.25">
      <c r="A50">
        <v>49</v>
      </c>
      <c r="B50" t="s">
        <v>36</v>
      </c>
      <c r="C50" t="s">
        <v>44</v>
      </c>
      <c r="D50">
        <v>11.424272318182901</v>
      </c>
      <c r="E50">
        <v>0.8</v>
      </c>
      <c r="F50">
        <v>0.02</v>
      </c>
      <c r="G50">
        <v>4395.1396070585524</v>
      </c>
      <c r="H50" t="s">
        <v>38</v>
      </c>
      <c r="I50" t="s">
        <v>39</v>
      </c>
      <c r="J50" t="s">
        <v>38</v>
      </c>
      <c r="K50" t="s">
        <v>39</v>
      </c>
    </row>
    <row r="51" spans="1:11" x14ac:dyDescent="0.25">
      <c r="A51">
        <v>50</v>
      </c>
      <c r="B51" t="s">
        <v>36</v>
      </c>
      <c r="C51" t="s">
        <v>44</v>
      </c>
      <c r="D51">
        <v>10.25881762192895</v>
      </c>
      <c r="E51">
        <v>0.8</v>
      </c>
      <c r="F51">
        <v>0.02</v>
      </c>
      <c r="G51">
        <v>3946.766533214241</v>
      </c>
      <c r="H51" t="s">
        <v>38</v>
      </c>
      <c r="I51" t="s">
        <v>39</v>
      </c>
      <c r="J51" t="s">
        <v>38</v>
      </c>
      <c r="K51" t="s">
        <v>39</v>
      </c>
    </row>
    <row r="52" spans="1:11" x14ac:dyDescent="0.25">
      <c r="A52">
        <v>51</v>
      </c>
      <c r="B52" t="s">
        <v>36</v>
      </c>
      <c r="C52" t="s">
        <v>44</v>
      </c>
      <c r="D52">
        <v>11.424272318182901</v>
      </c>
      <c r="E52">
        <v>0.8</v>
      </c>
      <c r="F52">
        <v>0.02</v>
      </c>
      <c r="G52">
        <v>4395.1396070585524</v>
      </c>
      <c r="H52" t="s">
        <v>38</v>
      </c>
      <c r="I52" t="s">
        <v>39</v>
      </c>
      <c r="J52" t="s">
        <v>38</v>
      </c>
      <c r="K52" t="s">
        <v>39</v>
      </c>
    </row>
    <row r="53" spans="1:11" x14ac:dyDescent="0.25">
      <c r="A53">
        <v>52</v>
      </c>
      <c r="B53" t="s">
        <v>36</v>
      </c>
      <c r="C53" t="s">
        <v>44</v>
      </c>
      <c r="D53">
        <v>10.25881762192895</v>
      </c>
      <c r="E53">
        <v>0.8</v>
      </c>
      <c r="F53">
        <v>0.02</v>
      </c>
      <c r="G53">
        <v>3946.766533214241</v>
      </c>
      <c r="H53" t="s">
        <v>38</v>
      </c>
      <c r="I53" t="s">
        <v>39</v>
      </c>
      <c r="J53" t="s">
        <v>38</v>
      </c>
      <c r="K53" t="s">
        <v>39</v>
      </c>
    </row>
    <row r="54" spans="1:11" x14ac:dyDescent="0.25">
      <c r="A54">
        <v>53</v>
      </c>
      <c r="B54" t="s">
        <v>36</v>
      </c>
      <c r="C54" t="s">
        <v>44</v>
      </c>
      <c r="D54">
        <v>9.8214204166199934</v>
      </c>
      <c r="E54">
        <v>0.8</v>
      </c>
      <c r="F54">
        <v>0.02</v>
      </c>
      <c r="G54">
        <v>3778.4913269229501</v>
      </c>
      <c r="H54" t="s">
        <v>38</v>
      </c>
      <c r="I54" t="s">
        <v>39</v>
      </c>
      <c r="J54" t="s">
        <v>38</v>
      </c>
      <c r="K54" t="s">
        <v>39</v>
      </c>
    </row>
    <row r="55" spans="1:11" x14ac:dyDescent="0.25">
      <c r="A55">
        <v>54</v>
      </c>
      <c r="B55" t="s">
        <v>36</v>
      </c>
      <c r="C55" t="s">
        <v>44</v>
      </c>
      <c r="D55">
        <v>8.8757837400423387</v>
      </c>
      <c r="E55">
        <v>0.8</v>
      </c>
      <c r="F55">
        <v>0.02</v>
      </c>
      <c r="G55">
        <v>3414.6865177099689</v>
      </c>
      <c r="H55" t="s">
        <v>38</v>
      </c>
      <c r="I55" t="s">
        <v>39</v>
      </c>
      <c r="J55" t="s">
        <v>38</v>
      </c>
      <c r="K55" t="s">
        <v>39</v>
      </c>
    </row>
    <row r="56" spans="1:11" x14ac:dyDescent="0.25">
      <c r="A56">
        <v>55</v>
      </c>
      <c r="B56" t="s">
        <v>36</v>
      </c>
      <c r="C56" t="s">
        <v>44</v>
      </c>
      <c r="D56">
        <v>9.8214204166199934</v>
      </c>
      <c r="E56">
        <v>0.8</v>
      </c>
      <c r="F56">
        <v>0.02</v>
      </c>
      <c r="G56">
        <v>3778.4913269229501</v>
      </c>
      <c r="H56" t="s">
        <v>38</v>
      </c>
      <c r="I56" t="s">
        <v>39</v>
      </c>
      <c r="J56" t="s">
        <v>38</v>
      </c>
      <c r="K56" t="s">
        <v>39</v>
      </c>
    </row>
    <row r="57" spans="1:11" x14ac:dyDescent="0.25">
      <c r="A57">
        <v>56</v>
      </c>
      <c r="B57" t="s">
        <v>36</v>
      </c>
      <c r="C57" t="s">
        <v>44</v>
      </c>
      <c r="D57">
        <v>8.8757837400423387</v>
      </c>
      <c r="E57">
        <v>0.8</v>
      </c>
      <c r="F57">
        <v>0.02</v>
      </c>
      <c r="G57">
        <v>3414.6865177099689</v>
      </c>
      <c r="H57" t="s">
        <v>38</v>
      </c>
      <c r="I57" t="s">
        <v>39</v>
      </c>
      <c r="J57" t="s">
        <v>38</v>
      </c>
      <c r="K57" t="s">
        <v>39</v>
      </c>
    </row>
    <row r="58" spans="1:11" x14ac:dyDescent="0.25">
      <c r="A58">
        <v>57</v>
      </c>
      <c r="B58" t="s">
        <v>36</v>
      </c>
      <c r="C58" t="s">
        <v>44</v>
      </c>
      <c r="D58">
        <v>9.8214204166199934</v>
      </c>
      <c r="E58">
        <v>0.8</v>
      </c>
      <c r="F58">
        <v>0.02</v>
      </c>
      <c r="G58">
        <v>3778.4913269229501</v>
      </c>
      <c r="H58" t="s">
        <v>38</v>
      </c>
      <c r="I58" t="s">
        <v>39</v>
      </c>
      <c r="J58" t="s">
        <v>38</v>
      </c>
      <c r="K58" t="s">
        <v>39</v>
      </c>
    </row>
    <row r="59" spans="1:11" x14ac:dyDescent="0.25">
      <c r="A59">
        <v>58</v>
      </c>
      <c r="B59" t="s">
        <v>36</v>
      </c>
      <c r="C59" t="s">
        <v>44</v>
      </c>
      <c r="D59">
        <v>8.8757837400423387</v>
      </c>
      <c r="E59">
        <v>0.8</v>
      </c>
      <c r="F59">
        <v>0.02</v>
      </c>
      <c r="G59">
        <v>3414.6865177099689</v>
      </c>
      <c r="H59" t="s">
        <v>38</v>
      </c>
      <c r="I59" t="s">
        <v>39</v>
      </c>
      <c r="J59" t="s">
        <v>38</v>
      </c>
      <c r="K59" t="s">
        <v>39</v>
      </c>
    </row>
    <row r="60" spans="1:11" x14ac:dyDescent="0.25">
      <c r="A60">
        <v>59</v>
      </c>
      <c r="B60" t="s">
        <v>36</v>
      </c>
      <c r="C60" t="s">
        <v>44</v>
      </c>
      <c r="D60">
        <v>9.8214204166199934</v>
      </c>
      <c r="E60">
        <v>0.8</v>
      </c>
      <c r="F60">
        <v>0.02</v>
      </c>
      <c r="G60">
        <v>3778.4913269229501</v>
      </c>
      <c r="H60" t="s">
        <v>38</v>
      </c>
      <c r="I60" t="s">
        <v>39</v>
      </c>
      <c r="J60" t="s">
        <v>38</v>
      </c>
      <c r="K60" t="s">
        <v>39</v>
      </c>
    </row>
    <row r="61" spans="1:11" x14ac:dyDescent="0.25">
      <c r="A61">
        <v>60</v>
      </c>
      <c r="B61" t="s">
        <v>36</v>
      </c>
      <c r="C61" t="s">
        <v>44</v>
      </c>
      <c r="D61">
        <v>8.8757837400423387</v>
      </c>
      <c r="E61">
        <v>0.8</v>
      </c>
      <c r="F61">
        <v>0.02</v>
      </c>
      <c r="G61">
        <v>3414.6865177099689</v>
      </c>
      <c r="H61" t="s">
        <v>38</v>
      </c>
      <c r="I61" t="s">
        <v>39</v>
      </c>
      <c r="J61" t="s">
        <v>38</v>
      </c>
      <c r="K61" t="s">
        <v>39</v>
      </c>
    </row>
    <row r="62" spans="1:11" x14ac:dyDescent="0.25">
      <c r="A62">
        <v>61</v>
      </c>
      <c r="B62" t="s">
        <v>36</v>
      </c>
      <c r="C62" t="s">
        <v>44</v>
      </c>
      <c r="D62">
        <v>9.8214204166199934</v>
      </c>
      <c r="E62">
        <v>0.8</v>
      </c>
      <c r="F62">
        <v>0.02</v>
      </c>
      <c r="G62">
        <v>3778.4913269229501</v>
      </c>
      <c r="H62" t="s">
        <v>38</v>
      </c>
      <c r="I62" t="s">
        <v>39</v>
      </c>
      <c r="J62" t="s">
        <v>38</v>
      </c>
      <c r="K62" t="s">
        <v>39</v>
      </c>
    </row>
    <row r="63" spans="1:11" x14ac:dyDescent="0.25">
      <c r="A63">
        <v>62</v>
      </c>
      <c r="B63" t="s">
        <v>36</v>
      </c>
      <c r="C63" t="s">
        <v>44</v>
      </c>
      <c r="D63">
        <v>8.8757837400423387</v>
      </c>
      <c r="E63">
        <v>0.8</v>
      </c>
      <c r="F63">
        <v>0.02</v>
      </c>
      <c r="G63">
        <v>3414.6865177099689</v>
      </c>
      <c r="H63" t="s">
        <v>38</v>
      </c>
      <c r="I63" t="s">
        <v>39</v>
      </c>
      <c r="J63" t="s">
        <v>38</v>
      </c>
      <c r="K63" t="s">
        <v>39</v>
      </c>
    </row>
    <row r="64" spans="1:11" x14ac:dyDescent="0.25">
      <c r="A64">
        <v>63</v>
      </c>
      <c r="B64" t="s">
        <v>36</v>
      </c>
      <c r="C64" t="s">
        <v>44</v>
      </c>
      <c r="D64">
        <v>9.8214204166199934</v>
      </c>
      <c r="E64">
        <v>0.8</v>
      </c>
      <c r="F64">
        <v>0.02</v>
      </c>
      <c r="G64">
        <v>3778.4913269229501</v>
      </c>
      <c r="H64" t="s">
        <v>38</v>
      </c>
      <c r="I64" t="s">
        <v>39</v>
      </c>
      <c r="J64" t="s">
        <v>38</v>
      </c>
      <c r="K64" t="s">
        <v>39</v>
      </c>
    </row>
    <row r="65" spans="1:11" x14ac:dyDescent="0.25">
      <c r="A65">
        <v>64</v>
      </c>
      <c r="B65" t="s">
        <v>36</v>
      </c>
      <c r="C65" t="s">
        <v>44</v>
      </c>
      <c r="D65">
        <v>8.8757837400423387</v>
      </c>
      <c r="E65">
        <v>0.8</v>
      </c>
      <c r="F65">
        <v>0.02</v>
      </c>
      <c r="G65">
        <v>3414.6865177099689</v>
      </c>
      <c r="H65" t="s">
        <v>38</v>
      </c>
      <c r="I65" t="s">
        <v>39</v>
      </c>
      <c r="J65" t="s">
        <v>38</v>
      </c>
      <c r="K65" t="s">
        <v>39</v>
      </c>
    </row>
    <row r="66" spans="1:11" x14ac:dyDescent="0.25">
      <c r="A66">
        <v>65</v>
      </c>
      <c r="B66" t="s">
        <v>36</v>
      </c>
      <c r="C66" t="s">
        <v>44</v>
      </c>
      <c r="D66">
        <v>9.8214204166199934</v>
      </c>
      <c r="E66">
        <v>0.8</v>
      </c>
      <c r="F66">
        <v>0.02</v>
      </c>
      <c r="G66">
        <v>3778.4913269229501</v>
      </c>
      <c r="H66" t="s">
        <v>38</v>
      </c>
      <c r="I66" t="s">
        <v>39</v>
      </c>
      <c r="J66" t="s">
        <v>38</v>
      </c>
      <c r="K66" t="s">
        <v>39</v>
      </c>
    </row>
    <row r="67" spans="1:11" x14ac:dyDescent="0.25">
      <c r="A67">
        <v>66</v>
      </c>
      <c r="B67" t="s">
        <v>36</v>
      </c>
      <c r="C67" t="s">
        <v>44</v>
      </c>
      <c r="D67">
        <v>8.8757837400423387</v>
      </c>
      <c r="E67">
        <v>0.8</v>
      </c>
      <c r="F67">
        <v>0.02</v>
      </c>
      <c r="G67">
        <v>3414.6865177099689</v>
      </c>
      <c r="H67" t="s">
        <v>38</v>
      </c>
      <c r="I67" t="s">
        <v>39</v>
      </c>
      <c r="J67" t="s">
        <v>38</v>
      </c>
      <c r="K67" t="s">
        <v>39</v>
      </c>
    </row>
    <row r="68" spans="1:11" x14ac:dyDescent="0.25">
      <c r="A68">
        <v>67</v>
      </c>
      <c r="B68" t="s">
        <v>36</v>
      </c>
      <c r="C68" t="s">
        <v>44</v>
      </c>
      <c r="D68">
        <v>9.8214204166199934</v>
      </c>
      <c r="E68">
        <v>0.8</v>
      </c>
      <c r="F68">
        <v>0.02</v>
      </c>
      <c r="G68">
        <v>3778.4913269229501</v>
      </c>
      <c r="H68" t="s">
        <v>38</v>
      </c>
      <c r="I68" t="s">
        <v>39</v>
      </c>
      <c r="J68" t="s">
        <v>38</v>
      </c>
      <c r="K68" t="s">
        <v>39</v>
      </c>
    </row>
    <row r="69" spans="1:11" x14ac:dyDescent="0.25">
      <c r="A69">
        <v>68</v>
      </c>
      <c r="B69" t="s">
        <v>36</v>
      </c>
      <c r="C69" t="s">
        <v>44</v>
      </c>
      <c r="D69">
        <v>8.8757837400423387</v>
      </c>
      <c r="E69">
        <v>0.8</v>
      </c>
      <c r="F69">
        <v>0.02</v>
      </c>
      <c r="G69">
        <v>3414.6865177099689</v>
      </c>
      <c r="H69" t="s">
        <v>38</v>
      </c>
      <c r="I69" t="s">
        <v>39</v>
      </c>
      <c r="J69" t="s">
        <v>38</v>
      </c>
      <c r="K69" t="s">
        <v>39</v>
      </c>
    </row>
    <row r="70" spans="1:11" x14ac:dyDescent="0.25">
      <c r="A70">
        <v>69</v>
      </c>
      <c r="B70" t="s">
        <v>40</v>
      </c>
      <c r="C70" t="s">
        <v>44</v>
      </c>
      <c r="D70">
        <v>8.4724069779490652</v>
      </c>
      <c r="E70">
        <v>0.8</v>
      </c>
      <c r="F70">
        <v>0.02</v>
      </c>
      <c r="G70">
        <v>3259.4996371572861</v>
      </c>
      <c r="H70" t="s">
        <v>41</v>
      </c>
      <c r="I70" t="s">
        <v>42</v>
      </c>
      <c r="J70" t="s">
        <v>41</v>
      </c>
      <c r="K70" t="s">
        <v>42</v>
      </c>
    </row>
    <row r="71" spans="1:11" x14ac:dyDescent="0.25">
      <c r="A71">
        <v>70</v>
      </c>
      <c r="B71" t="s">
        <v>40</v>
      </c>
      <c r="C71" t="s">
        <v>44</v>
      </c>
      <c r="D71">
        <v>7.7081755299162724</v>
      </c>
      <c r="E71">
        <v>0.8</v>
      </c>
      <c r="F71">
        <v>0.02</v>
      </c>
      <c r="G71">
        <v>2965.4849452225881</v>
      </c>
      <c r="H71" t="s">
        <v>41</v>
      </c>
      <c r="I71" t="s">
        <v>42</v>
      </c>
      <c r="J71" t="s">
        <v>41</v>
      </c>
      <c r="K71" t="s">
        <v>42</v>
      </c>
    </row>
    <row r="72" spans="1:11" x14ac:dyDescent="0.25">
      <c r="A72">
        <v>71</v>
      </c>
      <c r="B72" t="s">
        <v>40</v>
      </c>
      <c r="C72" t="s">
        <v>44</v>
      </c>
      <c r="D72">
        <v>8.4724069779490652</v>
      </c>
      <c r="E72">
        <v>0.8</v>
      </c>
      <c r="F72">
        <v>0.02</v>
      </c>
      <c r="G72">
        <v>3259.4996371572861</v>
      </c>
      <c r="H72" t="s">
        <v>41</v>
      </c>
      <c r="I72" t="s">
        <v>42</v>
      </c>
      <c r="J72" t="s">
        <v>41</v>
      </c>
      <c r="K72" t="s">
        <v>42</v>
      </c>
    </row>
    <row r="73" spans="1:11" x14ac:dyDescent="0.25">
      <c r="A73">
        <v>72</v>
      </c>
      <c r="B73" t="s">
        <v>40</v>
      </c>
      <c r="C73" t="s">
        <v>44</v>
      </c>
      <c r="D73">
        <v>7.7081755299162724</v>
      </c>
      <c r="E73">
        <v>0.8</v>
      </c>
      <c r="F73">
        <v>0.02</v>
      </c>
      <c r="G73">
        <v>2965.4849452225881</v>
      </c>
      <c r="H73" t="s">
        <v>41</v>
      </c>
      <c r="I73" t="s">
        <v>42</v>
      </c>
      <c r="J73" t="s">
        <v>41</v>
      </c>
      <c r="K73" t="s">
        <v>42</v>
      </c>
    </row>
    <row r="74" spans="1:11" x14ac:dyDescent="0.25">
      <c r="A74">
        <v>73</v>
      </c>
      <c r="B74" t="s">
        <v>40</v>
      </c>
      <c r="C74" t="s">
        <v>44</v>
      </c>
      <c r="D74">
        <v>8.4724069779490652</v>
      </c>
      <c r="E74">
        <v>0.8</v>
      </c>
      <c r="F74">
        <v>0.02</v>
      </c>
      <c r="G74">
        <v>3259.4996371572861</v>
      </c>
      <c r="H74" t="s">
        <v>41</v>
      </c>
      <c r="I74" t="s">
        <v>42</v>
      </c>
      <c r="J74" t="s">
        <v>41</v>
      </c>
      <c r="K74" t="s">
        <v>42</v>
      </c>
    </row>
    <row r="75" spans="1:11" x14ac:dyDescent="0.25">
      <c r="A75">
        <v>74</v>
      </c>
      <c r="B75" t="s">
        <v>40</v>
      </c>
      <c r="C75" t="s">
        <v>44</v>
      </c>
      <c r="D75">
        <v>7.7081755299162724</v>
      </c>
      <c r="E75">
        <v>0.8</v>
      </c>
      <c r="F75">
        <v>0.02</v>
      </c>
      <c r="G75">
        <v>2965.4849452225881</v>
      </c>
      <c r="H75" t="s">
        <v>41</v>
      </c>
      <c r="I75" t="s">
        <v>42</v>
      </c>
      <c r="J75" t="s">
        <v>41</v>
      </c>
      <c r="K75" t="s">
        <v>42</v>
      </c>
    </row>
    <row r="76" spans="1:11" x14ac:dyDescent="0.25">
      <c r="A76">
        <v>75</v>
      </c>
      <c r="B76" t="s">
        <v>40</v>
      </c>
      <c r="C76" t="s">
        <v>44</v>
      </c>
      <c r="D76">
        <v>8.4724069779490652</v>
      </c>
      <c r="E76">
        <v>0.8</v>
      </c>
      <c r="F76">
        <v>0.02</v>
      </c>
      <c r="G76">
        <v>3259.4996371572861</v>
      </c>
      <c r="H76" t="s">
        <v>41</v>
      </c>
      <c r="I76" t="s">
        <v>42</v>
      </c>
      <c r="J76" t="s">
        <v>41</v>
      </c>
      <c r="K76" t="s">
        <v>42</v>
      </c>
    </row>
    <row r="77" spans="1:11" x14ac:dyDescent="0.25">
      <c r="A77">
        <v>76</v>
      </c>
      <c r="B77" t="s">
        <v>40</v>
      </c>
      <c r="C77" t="s">
        <v>44</v>
      </c>
      <c r="D77">
        <v>7.7081755299162724</v>
      </c>
      <c r="E77">
        <v>0.8</v>
      </c>
      <c r="F77">
        <v>0.02</v>
      </c>
      <c r="G77">
        <v>2965.4849452225881</v>
      </c>
      <c r="H77" t="s">
        <v>41</v>
      </c>
      <c r="I77" t="s">
        <v>42</v>
      </c>
      <c r="J77" t="s">
        <v>41</v>
      </c>
      <c r="K77" t="s">
        <v>42</v>
      </c>
    </row>
    <row r="78" spans="1:11" x14ac:dyDescent="0.25">
      <c r="A78">
        <v>77</v>
      </c>
      <c r="B78" t="s">
        <v>40</v>
      </c>
      <c r="C78" t="s">
        <v>44</v>
      </c>
      <c r="D78">
        <v>8.4724069779490652</v>
      </c>
      <c r="E78">
        <v>0.8</v>
      </c>
      <c r="F78">
        <v>0.02</v>
      </c>
      <c r="G78">
        <v>3259.4996371572861</v>
      </c>
      <c r="H78" t="s">
        <v>41</v>
      </c>
      <c r="I78" t="s">
        <v>42</v>
      </c>
      <c r="J78" t="s">
        <v>41</v>
      </c>
      <c r="K78" t="s">
        <v>42</v>
      </c>
    </row>
    <row r="79" spans="1:11" x14ac:dyDescent="0.25">
      <c r="A79">
        <v>78</v>
      </c>
      <c r="B79" t="s">
        <v>40</v>
      </c>
      <c r="C79" t="s">
        <v>44</v>
      </c>
      <c r="D79">
        <v>7.7081755299162724</v>
      </c>
      <c r="E79">
        <v>0.8</v>
      </c>
      <c r="F79">
        <v>0.02</v>
      </c>
      <c r="G79">
        <v>2965.4849452225881</v>
      </c>
      <c r="H79" t="s">
        <v>41</v>
      </c>
      <c r="I79" t="s">
        <v>42</v>
      </c>
      <c r="J79" t="s">
        <v>41</v>
      </c>
      <c r="K79" t="s">
        <v>42</v>
      </c>
    </row>
    <row r="80" spans="1:11" x14ac:dyDescent="0.25">
      <c r="A80">
        <v>79</v>
      </c>
      <c r="B80" t="s">
        <v>40</v>
      </c>
      <c r="C80" t="s">
        <v>44</v>
      </c>
      <c r="D80">
        <v>8.4724069779490652</v>
      </c>
      <c r="E80">
        <v>0.8</v>
      </c>
      <c r="F80">
        <v>0.02</v>
      </c>
      <c r="G80">
        <v>3259.4996371572861</v>
      </c>
      <c r="H80" t="s">
        <v>41</v>
      </c>
      <c r="I80" t="s">
        <v>42</v>
      </c>
      <c r="J80" t="s">
        <v>41</v>
      </c>
      <c r="K80" t="s">
        <v>42</v>
      </c>
    </row>
    <row r="81" spans="1:11" x14ac:dyDescent="0.25">
      <c r="A81">
        <v>80</v>
      </c>
      <c r="B81" t="s">
        <v>40</v>
      </c>
      <c r="C81" t="s">
        <v>44</v>
      </c>
      <c r="D81">
        <v>7.7081755299162724</v>
      </c>
      <c r="E81">
        <v>0.8</v>
      </c>
      <c r="F81">
        <v>0.02</v>
      </c>
      <c r="G81">
        <v>2965.4849452225881</v>
      </c>
      <c r="H81" t="s">
        <v>41</v>
      </c>
      <c r="I81" t="s">
        <v>42</v>
      </c>
      <c r="J81" t="s">
        <v>41</v>
      </c>
      <c r="K81" t="s">
        <v>42</v>
      </c>
    </row>
    <row r="82" spans="1:11" x14ac:dyDescent="0.25">
      <c r="A82">
        <v>81</v>
      </c>
      <c r="B82" t="s">
        <v>40</v>
      </c>
      <c r="C82" t="s">
        <v>44</v>
      </c>
      <c r="D82">
        <v>8.4724069779490652</v>
      </c>
      <c r="E82">
        <v>0.8</v>
      </c>
      <c r="F82">
        <v>0.02</v>
      </c>
      <c r="G82">
        <v>3259.4996371572861</v>
      </c>
      <c r="H82" t="s">
        <v>41</v>
      </c>
      <c r="I82" t="s">
        <v>42</v>
      </c>
      <c r="J82" t="s">
        <v>41</v>
      </c>
      <c r="K82" t="s">
        <v>42</v>
      </c>
    </row>
    <row r="83" spans="1:11" x14ac:dyDescent="0.25">
      <c r="A83">
        <v>82</v>
      </c>
      <c r="B83" t="s">
        <v>40</v>
      </c>
      <c r="C83" t="s">
        <v>44</v>
      </c>
      <c r="D83">
        <v>7.7081755299162724</v>
      </c>
      <c r="E83">
        <v>0.8</v>
      </c>
      <c r="F83">
        <v>0.02</v>
      </c>
      <c r="G83">
        <v>2965.4849452225881</v>
      </c>
      <c r="H83" t="s">
        <v>41</v>
      </c>
      <c r="I83" t="s">
        <v>42</v>
      </c>
      <c r="J83" t="s">
        <v>41</v>
      </c>
      <c r="K83" t="s">
        <v>42</v>
      </c>
    </row>
    <row r="84" spans="1:11" x14ac:dyDescent="0.25">
      <c r="A84">
        <v>83</v>
      </c>
      <c r="B84" t="s">
        <v>40</v>
      </c>
      <c r="C84" t="s">
        <v>44</v>
      </c>
      <c r="D84">
        <v>8.4724069779490652</v>
      </c>
      <c r="E84">
        <v>0.8</v>
      </c>
      <c r="F84">
        <v>0.02</v>
      </c>
      <c r="G84">
        <v>3259.4996371572861</v>
      </c>
      <c r="H84" t="s">
        <v>41</v>
      </c>
      <c r="I84" t="s">
        <v>42</v>
      </c>
      <c r="J84" t="s">
        <v>41</v>
      </c>
      <c r="K84" t="s">
        <v>42</v>
      </c>
    </row>
    <row r="85" spans="1:11" x14ac:dyDescent="0.25">
      <c r="A85">
        <v>84</v>
      </c>
      <c r="B85" t="s">
        <v>40</v>
      </c>
      <c r="C85" t="s">
        <v>44</v>
      </c>
      <c r="D85">
        <v>7.7081755299162724</v>
      </c>
      <c r="E85">
        <v>0.8</v>
      </c>
      <c r="F85">
        <v>0.02</v>
      </c>
      <c r="G85">
        <v>2965.4849452225881</v>
      </c>
      <c r="H85" t="s">
        <v>41</v>
      </c>
      <c r="I85" t="s">
        <v>42</v>
      </c>
      <c r="J85" t="s">
        <v>41</v>
      </c>
      <c r="K85" t="s">
        <v>42</v>
      </c>
    </row>
    <row r="86" spans="1:11" x14ac:dyDescent="0.25">
      <c r="A86">
        <v>85</v>
      </c>
      <c r="B86" t="s">
        <v>40</v>
      </c>
      <c r="C86" t="s">
        <v>44</v>
      </c>
      <c r="D86">
        <v>7.3407455343445873</v>
      </c>
      <c r="E86">
        <v>0.8</v>
      </c>
      <c r="F86">
        <v>0.02</v>
      </c>
      <c r="G86">
        <v>2824.1274844250038</v>
      </c>
      <c r="H86" t="s">
        <v>41</v>
      </c>
      <c r="I86" t="s">
        <v>42</v>
      </c>
      <c r="J86" t="s">
        <v>41</v>
      </c>
      <c r="K86" t="s">
        <v>42</v>
      </c>
    </row>
    <row r="87" spans="1:11" x14ac:dyDescent="0.25">
      <c r="A87">
        <v>86</v>
      </c>
      <c r="B87" t="s">
        <v>43</v>
      </c>
      <c r="C87" t="s">
        <v>44</v>
      </c>
      <c r="D87">
        <v>6.7231619049372888</v>
      </c>
      <c r="E87">
        <v>0.8</v>
      </c>
      <c r="F87">
        <v>0.02</v>
      </c>
      <c r="G87">
        <v>2586.5310586151259</v>
      </c>
      <c r="H87" t="s">
        <v>38</v>
      </c>
      <c r="I87" t="s">
        <v>39</v>
      </c>
      <c r="J87" t="s">
        <v>38</v>
      </c>
      <c r="K87" t="s">
        <v>39</v>
      </c>
    </row>
    <row r="88" spans="1:11" x14ac:dyDescent="0.25">
      <c r="A88">
        <v>87</v>
      </c>
      <c r="B88" t="s">
        <v>40</v>
      </c>
      <c r="C88" t="s">
        <v>44</v>
      </c>
      <c r="D88">
        <v>7.3407455343445873</v>
      </c>
      <c r="E88">
        <v>0.8</v>
      </c>
      <c r="F88">
        <v>0.02</v>
      </c>
      <c r="G88">
        <v>2824.1274844250038</v>
      </c>
      <c r="H88" t="s">
        <v>41</v>
      </c>
      <c r="I88" t="s">
        <v>42</v>
      </c>
      <c r="J88" t="s">
        <v>41</v>
      </c>
      <c r="K88" t="s">
        <v>42</v>
      </c>
    </row>
    <row r="89" spans="1:11" x14ac:dyDescent="0.25">
      <c r="A89">
        <v>88</v>
      </c>
      <c r="B89" t="s">
        <v>43</v>
      </c>
      <c r="C89" t="s">
        <v>44</v>
      </c>
      <c r="D89">
        <v>6.7231619049372888</v>
      </c>
      <c r="E89">
        <v>0.8</v>
      </c>
      <c r="F89">
        <v>0.02</v>
      </c>
      <c r="G89">
        <v>2586.5310586151259</v>
      </c>
      <c r="H89" t="s">
        <v>38</v>
      </c>
      <c r="I89" t="s">
        <v>39</v>
      </c>
      <c r="J89" t="s">
        <v>38</v>
      </c>
      <c r="K89" t="s">
        <v>39</v>
      </c>
    </row>
    <row r="90" spans="1:11" x14ac:dyDescent="0.25">
      <c r="A90">
        <v>89</v>
      </c>
      <c r="B90" t="s">
        <v>40</v>
      </c>
      <c r="C90" t="s">
        <v>44</v>
      </c>
      <c r="D90">
        <v>7.3407455343445873</v>
      </c>
      <c r="E90">
        <v>0.8</v>
      </c>
      <c r="F90">
        <v>0.02</v>
      </c>
      <c r="G90">
        <v>2824.1274844250038</v>
      </c>
      <c r="H90" t="s">
        <v>41</v>
      </c>
      <c r="I90" t="s">
        <v>42</v>
      </c>
      <c r="J90" t="s">
        <v>41</v>
      </c>
      <c r="K90" t="s">
        <v>42</v>
      </c>
    </row>
    <row r="91" spans="1:11" x14ac:dyDescent="0.25">
      <c r="A91">
        <v>90</v>
      </c>
      <c r="B91" t="s">
        <v>43</v>
      </c>
      <c r="C91" t="s">
        <v>44</v>
      </c>
      <c r="D91">
        <v>6.7231619049372888</v>
      </c>
      <c r="E91">
        <v>0.8</v>
      </c>
      <c r="F91">
        <v>0.02</v>
      </c>
      <c r="G91">
        <v>2586.5310586151259</v>
      </c>
      <c r="H91" t="s">
        <v>38</v>
      </c>
      <c r="I91" t="s">
        <v>39</v>
      </c>
      <c r="J91" t="s">
        <v>38</v>
      </c>
      <c r="K91" t="s">
        <v>39</v>
      </c>
    </row>
    <row r="92" spans="1:11" x14ac:dyDescent="0.25">
      <c r="A92">
        <v>91</v>
      </c>
      <c r="B92" t="s">
        <v>40</v>
      </c>
      <c r="C92" t="s">
        <v>44</v>
      </c>
      <c r="D92">
        <v>7.3407455343445873</v>
      </c>
      <c r="E92">
        <v>0.8</v>
      </c>
      <c r="F92">
        <v>0.02</v>
      </c>
      <c r="G92">
        <v>2824.1274844250038</v>
      </c>
      <c r="H92" t="s">
        <v>41</v>
      </c>
      <c r="I92" t="s">
        <v>42</v>
      </c>
      <c r="J92" t="s">
        <v>41</v>
      </c>
      <c r="K92" t="s">
        <v>42</v>
      </c>
    </row>
    <row r="93" spans="1:11" x14ac:dyDescent="0.25">
      <c r="A93">
        <v>92</v>
      </c>
      <c r="B93" t="s">
        <v>43</v>
      </c>
      <c r="C93" t="s">
        <v>44</v>
      </c>
      <c r="D93">
        <v>6.7231619049372888</v>
      </c>
      <c r="E93">
        <v>0.8</v>
      </c>
      <c r="F93">
        <v>0.02</v>
      </c>
      <c r="G93">
        <v>2586.5310586151259</v>
      </c>
      <c r="H93" t="s">
        <v>38</v>
      </c>
      <c r="I93" t="s">
        <v>39</v>
      </c>
      <c r="J93" t="s">
        <v>38</v>
      </c>
      <c r="K93" t="s">
        <v>39</v>
      </c>
    </row>
    <row r="94" spans="1:11" x14ac:dyDescent="0.25">
      <c r="A94">
        <v>93</v>
      </c>
      <c r="B94" t="s">
        <v>40</v>
      </c>
      <c r="C94" t="s">
        <v>44</v>
      </c>
      <c r="D94">
        <v>7.3407455343445873</v>
      </c>
      <c r="E94">
        <v>0.8</v>
      </c>
      <c r="F94">
        <v>0.02</v>
      </c>
      <c r="G94">
        <v>2824.1274844250038</v>
      </c>
      <c r="H94" t="s">
        <v>41</v>
      </c>
      <c r="I94" t="s">
        <v>42</v>
      </c>
      <c r="J94" t="s">
        <v>41</v>
      </c>
      <c r="K94" t="s">
        <v>42</v>
      </c>
    </row>
    <row r="95" spans="1:11" x14ac:dyDescent="0.25">
      <c r="A95">
        <v>94</v>
      </c>
      <c r="B95" t="s">
        <v>43</v>
      </c>
      <c r="C95" t="s">
        <v>44</v>
      </c>
      <c r="D95">
        <v>6.7231619049372888</v>
      </c>
      <c r="E95">
        <v>0.8</v>
      </c>
      <c r="F95">
        <v>0.02</v>
      </c>
      <c r="G95">
        <v>2586.5310586151259</v>
      </c>
      <c r="H95" t="s">
        <v>38</v>
      </c>
      <c r="I95" t="s">
        <v>39</v>
      </c>
      <c r="J95" t="s">
        <v>38</v>
      </c>
      <c r="K95" t="s">
        <v>39</v>
      </c>
    </row>
    <row r="96" spans="1:11" x14ac:dyDescent="0.25">
      <c r="A96">
        <v>95</v>
      </c>
      <c r="B96" t="s">
        <v>40</v>
      </c>
      <c r="C96" t="s">
        <v>44</v>
      </c>
      <c r="D96">
        <v>7.3407455343445873</v>
      </c>
      <c r="E96">
        <v>0.8</v>
      </c>
      <c r="F96">
        <v>0.02</v>
      </c>
      <c r="G96">
        <v>2824.1274844250038</v>
      </c>
      <c r="H96" t="s">
        <v>41</v>
      </c>
      <c r="I96" t="s">
        <v>42</v>
      </c>
      <c r="J96" t="s">
        <v>41</v>
      </c>
      <c r="K96" t="s">
        <v>42</v>
      </c>
    </row>
    <row r="97" spans="1:11" x14ac:dyDescent="0.25">
      <c r="A97">
        <v>96</v>
      </c>
      <c r="B97" t="s">
        <v>43</v>
      </c>
      <c r="C97" t="s">
        <v>44</v>
      </c>
      <c r="D97">
        <v>6.7231619049372888</v>
      </c>
      <c r="E97">
        <v>0.8</v>
      </c>
      <c r="F97">
        <v>0.02</v>
      </c>
      <c r="G97">
        <v>2586.5310586151259</v>
      </c>
      <c r="H97" t="s">
        <v>38</v>
      </c>
      <c r="I97" t="s">
        <v>39</v>
      </c>
      <c r="J97" t="s">
        <v>38</v>
      </c>
      <c r="K97" t="s">
        <v>39</v>
      </c>
    </row>
    <row r="98" spans="1:11" x14ac:dyDescent="0.25">
      <c r="A98">
        <v>97</v>
      </c>
      <c r="B98" t="s">
        <v>40</v>
      </c>
      <c r="C98" t="s">
        <v>44</v>
      </c>
      <c r="D98">
        <v>7.3407455343445873</v>
      </c>
      <c r="E98">
        <v>0.8</v>
      </c>
      <c r="F98">
        <v>0.02</v>
      </c>
      <c r="G98">
        <v>2824.1274844250038</v>
      </c>
      <c r="H98" t="s">
        <v>41</v>
      </c>
      <c r="I98" t="s">
        <v>42</v>
      </c>
      <c r="J98" t="s">
        <v>41</v>
      </c>
      <c r="K98" t="s">
        <v>42</v>
      </c>
    </row>
    <row r="99" spans="1:11" x14ac:dyDescent="0.25">
      <c r="A99">
        <v>98</v>
      </c>
      <c r="B99" t="s">
        <v>43</v>
      </c>
      <c r="C99" t="s">
        <v>44</v>
      </c>
      <c r="D99">
        <v>6.7231619049372888</v>
      </c>
      <c r="E99">
        <v>0.8</v>
      </c>
      <c r="F99">
        <v>0.02</v>
      </c>
      <c r="G99">
        <v>2586.5310586151259</v>
      </c>
      <c r="H99" t="s">
        <v>38</v>
      </c>
      <c r="I99" t="s">
        <v>39</v>
      </c>
      <c r="J99" t="s">
        <v>38</v>
      </c>
      <c r="K99" t="s">
        <v>39</v>
      </c>
    </row>
    <row r="100" spans="1:11" x14ac:dyDescent="0.25">
      <c r="A100">
        <v>99</v>
      </c>
      <c r="B100" t="s">
        <v>40</v>
      </c>
      <c r="C100" t="s">
        <v>44</v>
      </c>
      <c r="D100">
        <v>7.3407455343445873</v>
      </c>
      <c r="E100">
        <v>0.8</v>
      </c>
      <c r="F100">
        <v>0.02</v>
      </c>
      <c r="G100">
        <v>2824.1274844250038</v>
      </c>
      <c r="H100" t="s">
        <v>41</v>
      </c>
      <c r="I100" t="s">
        <v>42</v>
      </c>
      <c r="J100" t="s">
        <v>41</v>
      </c>
      <c r="K100" t="s">
        <v>42</v>
      </c>
    </row>
    <row r="101" spans="1:11" x14ac:dyDescent="0.25">
      <c r="A101">
        <v>100</v>
      </c>
      <c r="B101" t="s">
        <v>43</v>
      </c>
      <c r="C101" t="s">
        <v>44</v>
      </c>
      <c r="D101">
        <v>6.7231619049372888</v>
      </c>
      <c r="E101">
        <v>0.8</v>
      </c>
      <c r="F101">
        <v>0.02</v>
      </c>
      <c r="G101">
        <v>2586.5310586151259</v>
      </c>
      <c r="H101" t="s">
        <v>38</v>
      </c>
      <c r="I101" t="s">
        <v>39</v>
      </c>
      <c r="J101" t="s">
        <v>38</v>
      </c>
      <c r="K101" t="s">
        <v>39</v>
      </c>
    </row>
    <row r="102" spans="1:11" x14ac:dyDescent="0.25">
      <c r="A102">
        <v>101</v>
      </c>
      <c r="B102" t="s">
        <v>43</v>
      </c>
      <c r="C102" t="s">
        <v>37</v>
      </c>
      <c r="D102">
        <v>4</v>
      </c>
      <c r="E102">
        <v>1.2</v>
      </c>
      <c r="F102">
        <v>0.04</v>
      </c>
      <c r="G102">
        <v>4577.1748325741864</v>
      </c>
      <c r="H102" t="s">
        <v>38</v>
      </c>
      <c r="I102" t="s">
        <v>39</v>
      </c>
      <c r="J102" t="s">
        <v>38</v>
      </c>
      <c r="K102" t="s">
        <v>39</v>
      </c>
    </row>
    <row r="103" spans="1:11" x14ac:dyDescent="0.25">
      <c r="A103">
        <v>102</v>
      </c>
      <c r="B103" t="s">
        <v>43</v>
      </c>
      <c r="C103" t="s">
        <v>37</v>
      </c>
      <c r="D103">
        <v>4</v>
      </c>
      <c r="E103">
        <v>1.2</v>
      </c>
      <c r="F103">
        <v>0.04</v>
      </c>
      <c r="G103">
        <v>4577.1748325741864</v>
      </c>
      <c r="H103" t="s">
        <v>38</v>
      </c>
      <c r="I103" t="s">
        <v>39</v>
      </c>
      <c r="J103" t="s">
        <v>38</v>
      </c>
      <c r="K103" t="s">
        <v>39</v>
      </c>
    </row>
    <row r="104" spans="1:11" x14ac:dyDescent="0.25">
      <c r="A104">
        <v>103</v>
      </c>
      <c r="B104" t="s">
        <v>43</v>
      </c>
      <c r="C104" t="s">
        <v>37</v>
      </c>
      <c r="D104">
        <v>4</v>
      </c>
      <c r="E104">
        <v>1.2</v>
      </c>
      <c r="F104">
        <v>0.04</v>
      </c>
      <c r="G104">
        <v>4577.1748325741864</v>
      </c>
      <c r="H104" t="s">
        <v>38</v>
      </c>
      <c r="I104" t="s">
        <v>39</v>
      </c>
      <c r="J104" t="s">
        <v>38</v>
      </c>
      <c r="K104" t="s">
        <v>39</v>
      </c>
    </row>
    <row r="105" spans="1:11" x14ac:dyDescent="0.25">
      <c r="A105">
        <v>104</v>
      </c>
      <c r="B105" t="s">
        <v>43</v>
      </c>
      <c r="C105" t="s">
        <v>37</v>
      </c>
      <c r="D105">
        <v>4</v>
      </c>
      <c r="E105">
        <v>1.2</v>
      </c>
      <c r="F105">
        <v>0.04</v>
      </c>
      <c r="G105">
        <v>4577.1748325741864</v>
      </c>
      <c r="H105" t="s">
        <v>38</v>
      </c>
      <c r="I105" t="s">
        <v>39</v>
      </c>
      <c r="J105" t="s">
        <v>38</v>
      </c>
      <c r="K105" t="s">
        <v>39</v>
      </c>
    </row>
    <row r="106" spans="1:11" x14ac:dyDescent="0.25">
      <c r="A106">
        <v>105</v>
      </c>
      <c r="B106" t="s">
        <v>36</v>
      </c>
      <c r="C106" t="s">
        <v>37</v>
      </c>
      <c r="D106">
        <v>4</v>
      </c>
      <c r="E106">
        <v>2.0819999999999999</v>
      </c>
      <c r="F106">
        <v>0.49099999999999999</v>
      </c>
      <c r="G106">
        <v>32778.838659304332</v>
      </c>
      <c r="H106" t="s">
        <v>38</v>
      </c>
      <c r="I106" t="s">
        <v>39</v>
      </c>
      <c r="J106" t="s">
        <v>38</v>
      </c>
      <c r="K106" t="s">
        <v>39</v>
      </c>
    </row>
    <row r="107" spans="1:11" x14ac:dyDescent="0.25">
      <c r="A107">
        <v>106</v>
      </c>
      <c r="B107" t="s">
        <v>36</v>
      </c>
      <c r="C107" t="s">
        <v>37</v>
      </c>
      <c r="D107">
        <v>4</v>
      </c>
      <c r="E107">
        <v>2.0819999999999999</v>
      </c>
      <c r="F107">
        <v>0.49099999999999999</v>
      </c>
      <c r="G107">
        <v>32778.838659304332</v>
      </c>
      <c r="H107" t="s">
        <v>38</v>
      </c>
      <c r="I107" t="s">
        <v>39</v>
      </c>
      <c r="J107" t="s">
        <v>38</v>
      </c>
      <c r="K107" t="s">
        <v>39</v>
      </c>
    </row>
    <row r="108" spans="1:11" x14ac:dyDescent="0.25">
      <c r="A108">
        <v>107</v>
      </c>
      <c r="B108" t="s">
        <v>36</v>
      </c>
      <c r="C108" t="s">
        <v>37</v>
      </c>
      <c r="D108">
        <v>4</v>
      </c>
      <c r="E108">
        <v>2.0819999999999999</v>
      </c>
      <c r="F108">
        <v>0.49099999999999999</v>
      </c>
      <c r="G108">
        <v>32778.838659304332</v>
      </c>
      <c r="H108" t="s">
        <v>38</v>
      </c>
      <c r="I108" t="s">
        <v>39</v>
      </c>
      <c r="J108" t="s">
        <v>38</v>
      </c>
      <c r="K108" t="s">
        <v>39</v>
      </c>
    </row>
    <row r="109" spans="1:11" x14ac:dyDescent="0.25">
      <c r="A109">
        <v>108</v>
      </c>
      <c r="B109" t="s">
        <v>36</v>
      </c>
      <c r="C109" t="s">
        <v>37</v>
      </c>
      <c r="D109">
        <v>4</v>
      </c>
      <c r="E109">
        <v>2.0819999999999999</v>
      </c>
      <c r="F109">
        <v>0.49099999999999999</v>
      </c>
      <c r="G109">
        <v>32778.838659304332</v>
      </c>
      <c r="H109" t="s">
        <v>38</v>
      </c>
      <c r="I109" t="s">
        <v>39</v>
      </c>
      <c r="J109" t="s">
        <v>38</v>
      </c>
      <c r="K109" t="s">
        <v>39</v>
      </c>
    </row>
    <row r="110" spans="1:11" x14ac:dyDescent="0.25">
      <c r="A110">
        <v>109</v>
      </c>
      <c r="B110" t="s">
        <v>36</v>
      </c>
      <c r="C110" t="s">
        <v>37</v>
      </c>
      <c r="D110">
        <v>0.50099999999999767</v>
      </c>
      <c r="E110">
        <v>2.0819999999999999</v>
      </c>
      <c r="F110">
        <v>0.06</v>
      </c>
      <c r="G110">
        <v>1498.9586648417919</v>
      </c>
      <c r="H110" t="s">
        <v>38</v>
      </c>
      <c r="I110" t="s">
        <v>39</v>
      </c>
      <c r="J110" t="s">
        <v>38</v>
      </c>
      <c r="K110" t="s">
        <v>39</v>
      </c>
    </row>
    <row r="111" spans="1:11" x14ac:dyDescent="0.25">
      <c r="A111">
        <v>110</v>
      </c>
      <c r="B111" t="s">
        <v>36</v>
      </c>
      <c r="C111" t="s">
        <v>37</v>
      </c>
      <c r="D111">
        <v>0.50099999999999767</v>
      </c>
      <c r="E111">
        <v>2.0819999999999999</v>
      </c>
      <c r="F111">
        <v>0.06</v>
      </c>
      <c r="G111">
        <v>1498.9586648417919</v>
      </c>
      <c r="H111" t="s">
        <v>38</v>
      </c>
      <c r="I111" t="s">
        <v>39</v>
      </c>
      <c r="J111" t="s">
        <v>38</v>
      </c>
      <c r="K111" t="s">
        <v>39</v>
      </c>
    </row>
    <row r="112" spans="1:11" x14ac:dyDescent="0.25">
      <c r="A112">
        <v>111</v>
      </c>
      <c r="B112" t="s">
        <v>36</v>
      </c>
      <c r="C112" t="s">
        <v>37</v>
      </c>
      <c r="D112">
        <v>0.50099999999999767</v>
      </c>
      <c r="E112">
        <v>2.0819999999999999</v>
      </c>
      <c r="F112">
        <v>0.06</v>
      </c>
      <c r="G112">
        <v>1498.9586648417919</v>
      </c>
      <c r="H112" t="s">
        <v>38</v>
      </c>
      <c r="I112" t="s">
        <v>39</v>
      </c>
      <c r="J112" t="s">
        <v>38</v>
      </c>
      <c r="K112" t="s">
        <v>39</v>
      </c>
    </row>
    <row r="113" spans="1:11" x14ac:dyDescent="0.25">
      <c r="A113">
        <v>112</v>
      </c>
      <c r="B113" t="s">
        <v>36</v>
      </c>
      <c r="C113" t="s">
        <v>37</v>
      </c>
      <c r="D113">
        <v>0.50099999999999767</v>
      </c>
      <c r="E113">
        <v>2.0819999999999999</v>
      </c>
      <c r="F113">
        <v>0.06</v>
      </c>
      <c r="G113">
        <v>1498.9586648417919</v>
      </c>
      <c r="H113" t="s">
        <v>38</v>
      </c>
      <c r="I113" t="s">
        <v>39</v>
      </c>
      <c r="J113" t="s">
        <v>38</v>
      </c>
      <c r="K113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E2D9-060D-4466-8DA0-3625DEED7D8D}">
  <dimension ref="B1:AR112"/>
  <sheetViews>
    <sheetView tabSelected="1" zoomScale="85" zoomScaleNormal="85" workbookViewId="0">
      <pane ySplit="3" topLeftCell="A10" activePane="bottomLeft" state="frozen"/>
      <selection pane="bottomLeft" activeCell="C23" sqref="C23"/>
    </sheetView>
  </sheetViews>
  <sheetFormatPr defaultRowHeight="15" x14ac:dyDescent="0.25"/>
  <sheetData>
    <row r="1" spans="2:44" x14ac:dyDescent="0.25">
      <c r="AH1" t="s">
        <v>67</v>
      </c>
      <c r="AI1" t="s">
        <v>76</v>
      </c>
    </row>
    <row r="2" spans="2:44" x14ac:dyDescent="0.25">
      <c r="AM2" t="s">
        <v>92</v>
      </c>
      <c r="AP2" t="s">
        <v>93</v>
      </c>
    </row>
    <row r="3" spans="2:44" x14ac:dyDescent="0.25">
      <c r="B3" t="s">
        <v>51</v>
      </c>
      <c r="D3" t="s">
        <v>57</v>
      </c>
      <c r="I3" t="s">
        <v>0</v>
      </c>
      <c r="J3" t="s">
        <v>83</v>
      </c>
      <c r="K3" t="s">
        <v>84</v>
      </c>
      <c r="L3" t="s">
        <v>85</v>
      </c>
      <c r="M3" t="s">
        <v>86</v>
      </c>
      <c r="N3" t="s">
        <v>87</v>
      </c>
      <c r="O3" t="s">
        <v>88</v>
      </c>
      <c r="P3" t="s">
        <v>89</v>
      </c>
      <c r="Q3" t="str" cm="1">
        <f t="array" ref="Q3:W107">carbon_input!A1:G105</f>
        <v>member_id</v>
      </c>
      <c r="R3" t="str">
        <v>zone</v>
      </c>
      <c r="S3" t="str">
        <v>member_class</v>
      </c>
      <c r="T3" t="str">
        <v>length_m</v>
      </c>
      <c r="U3" t="str">
        <v>D_m</v>
      </c>
      <c r="V3" t="str">
        <v>t_m</v>
      </c>
      <c r="W3" t="str">
        <v>mass_kg</v>
      </c>
      <c r="X3" t="str" cm="1">
        <f t="array" ref="X3:X107">IF(D3="A",carbon_input!H1:H105,carbon_input!J1:J105)</f>
        <v>reuse_level_A</v>
      </c>
      <c r="Y3" t="s">
        <v>82</v>
      </c>
      <c r="Z3" t="s">
        <v>63</v>
      </c>
      <c r="AA3" t="s">
        <v>64</v>
      </c>
      <c r="AB3" t="s">
        <v>66</v>
      </c>
      <c r="AC3" t="str">
        <f>B13</f>
        <v>EF_BOD</v>
      </c>
      <c r="AD3" t="str">
        <f>B14</f>
        <v>EF_EAF</v>
      </c>
      <c r="AE3" t="str">
        <f>B15</f>
        <v>EF_REUSE</v>
      </c>
      <c r="AH3" t="s">
        <v>68</v>
      </c>
      <c r="AI3" t="s">
        <v>90</v>
      </c>
      <c r="AJ3" t="s">
        <v>91</v>
      </c>
      <c r="AK3" t="s">
        <v>91</v>
      </c>
      <c r="AM3" t="str">
        <f>B13</f>
        <v>EF_BOD</v>
      </c>
      <c r="AN3" t="str">
        <f>B14</f>
        <v>EF_EAF</v>
      </c>
      <c r="AO3" t="s">
        <v>94</v>
      </c>
      <c r="AP3" t="str">
        <f>AM3</f>
        <v>EF_BOD</v>
      </c>
      <c r="AQ3" t="str">
        <f>AN3</f>
        <v>EF_EAF</v>
      </c>
      <c r="AR3" t="s">
        <v>94</v>
      </c>
    </row>
    <row r="4" spans="2:44" x14ac:dyDescent="0.25">
      <c r="B4" t="s">
        <v>53</v>
      </c>
      <c r="D4">
        <v>3.6</v>
      </c>
      <c r="E4" t="s">
        <v>52</v>
      </c>
      <c r="Q4">
        <v>1</v>
      </c>
      <c r="R4" t="str">
        <v>submerged</v>
      </c>
      <c r="S4" t="str">
        <v>leg</v>
      </c>
      <c r="T4">
        <v>0.5</v>
      </c>
      <c r="U4">
        <v>1.2</v>
      </c>
      <c r="V4">
        <v>0.05</v>
      </c>
      <c r="W4">
        <v>709.01819200704631</v>
      </c>
      <c r="X4" t="str">
        <v>L2</v>
      </c>
      <c r="Z4">
        <f>IF(ISBLANK(Y4),IF(T4&gt;6,IF(S4="leg",T4-$D$4,T4-$D$5),0),Y4)</f>
        <v>0</v>
      </c>
      <c r="AA4">
        <f>IF(R4="splash",(PI()/4*(U4^2-(U4-2*(V4-$D$11*IF(S4="leg",$D$9,$D$10)))^2)),(PI()/4*(U4^2-(U4-2*(V4))^2)))</f>
        <v>0.18064157758141328</v>
      </c>
      <c r="AB4">
        <f>AA4*Z4*$D$7</f>
        <v>0</v>
      </c>
      <c r="AC4">
        <f>AB4*$D$13</f>
        <v>0</v>
      </c>
      <c r="AD4">
        <f>AB4*$D$14</f>
        <v>0</v>
      </c>
      <c r="AE4">
        <f>AB4*$D$15</f>
        <v>0</v>
      </c>
      <c r="AH4">
        <f t="shared" ref="AH4:AH35" si="0">IF(Z4=0,T4,T4-Z4)</f>
        <v>0.5</v>
      </c>
      <c r="AI4">
        <f>IF(S4="leg",AH4*AA4*$D$7,0)</f>
        <v>709.01819200704711</v>
      </c>
      <c r="AJ4">
        <f>IF(S4="leg",IF(Z4=0,AI4,AI4+O4*$D$7*AH4),0)</f>
        <v>709.01819200704711</v>
      </c>
      <c r="AK4">
        <f>IF(S4="leg",IF(Z4=0,AI4,AI4+P4*$D$7*AH4),0)</f>
        <v>709.01819200704711</v>
      </c>
      <c r="AM4">
        <f>AJ4*$D$13</f>
        <v>1737.0945704172655</v>
      </c>
      <c r="AN4">
        <f>AJ4*$D$14</f>
        <v>402.01331486799569</v>
      </c>
      <c r="AO4">
        <f>AJ4*$D$15</f>
        <v>49.48946980209189</v>
      </c>
      <c r="AP4">
        <f t="shared" ref="AP4:AP35" si="1">AK4*$D$13</f>
        <v>1737.0945704172655</v>
      </c>
      <c r="AQ4">
        <f t="shared" ref="AQ4:AQ35" si="2">AK4*$D$14</f>
        <v>402.01331486799569</v>
      </c>
      <c r="AR4">
        <f>AK4*$D$15</f>
        <v>49.48946980209189</v>
      </c>
    </row>
    <row r="5" spans="2:44" x14ac:dyDescent="0.25">
      <c r="B5" t="s">
        <v>54</v>
      </c>
      <c r="D5">
        <v>2.4</v>
      </c>
      <c r="E5" t="s">
        <v>52</v>
      </c>
      <c r="I5">
        <v>2</v>
      </c>
      <c r="J5">
        <v>0</v>
      </c>
      <c r="K5">
        <v>0</v>
      </c>
      <c r="L5">
        <v>5</v>
      </c>
      <c r="M5">
        <v>12</v>
      </c>
      <c r="N5">
        <f>AVERAGE(J5,L5)</f>
        <v>2.5</v>
      </c>
      <c r="O5">
        <f>(PI()/4*(U5-2*V5)^2)-(PI()/4*(U5-2*V5-2*N5*0.001)^2)</f>
        <v>8.6197448432868695E-3</v>
      </c>
      <c r="P5">
        <f>(PI()/4*(U5-2*V5)^2)-(PI()/4*(U5-2*V5-2*M5*0.001)^2)</f>
        <v>4.1016633685268422E-2</v>
      </c>
      <c r="Q5">
        <v>2</v>
      </c>
      <c r="R5" t="str">
        <v>submerged</v>
      </c>
      <c r="S5" t="str">
        <v>leg</v>
      </c>
      <c r="T5">
        <v>1.000089495995236</v>
      </c>
      <c r="U5">
        <v>1.2</v>
      </c>
      <c r="V5">
        <v>0.05</v>
      </c>
      <c r="W5">
        <v>1418.163292591561</v>
      </c>
      <c r="X5" t="str">
        <v>L2</v>
      </c>
      <c r="Z5">
        <f t="shared" ref="Z5:Z68" si="3">IF(ISBLANK(Y5),IF(T5&gt;6,IF(S5="leg",T5-$D$4,T5-$D$5),0),Y5)</f>
        <v>0</v>
      </c>
      <c r="AA5">
        <f t="shared" ref="AA5:AA68" si="4">IF(R5="splash",(PI()/4*(U5^2-(U5-2*(V5-$D$11*IF(S5="leg",$D$9,$D$10)))^2)),(PI()/4*(U5^2-(U5-2*(V5))^2)))</f>
        <v>0.18064157758141328</v>
      </c>
      <c r="AB5">
        <f t="shared" ref="AB5:AB68" si="5">AA5*Z5*$D$7</f>
        <v>0</v>
      </c>
      <c r="AC5">
        <f t="shared" ref="AC5:AC68" si="6">AB5*$D$13</f>
        <v>0</v>
      </c>
      <c r="AD5">
        <f t="shared" ref="AD5:AD68" si="7">AB5*$D$14</f>
        <v>0</v>
      </c>
      <c r="AE5">
        <f t="shared" ref="AE5:AE68" si="8">AB5*$D$15</f>
        <v>0</v>
      </c>
      <c r="AH5">
        <f t="shared" si="0"/>
        <v>1.000089495995236</v>
      </c>
      <c r="AI5">
        <f t="shared" ref="AI5:AI68" si="9">IF(S5="leg",AH5*AA5*$D$7,0)</f>
        <v>1418.1632925915626</v>
      </c>
      <c r="AJ5">
        <f t="shared" ref="AJ5:AJ68" si="10">IF(S5="leg",IF(Z5=0,AI5,AI5+O5*$D$7*AH5),0)</f>
        <v>1418.1632925915626</v>
      </c>
      <c r="AK5">
        <f t="shared" ref="AK5:AK68" si="11">IF(S5="leg",IF(Z5=0,AI5,AI5+P5*$D$7*AH5),0)</f>
        <v>1418.1632925915626</v>
      </c>
      <c r="AM5">
        <f t="shared" ref="AM5:AM68" si="12">AJ5*$D$13</f>
        <v>3474.5000668493285</v>
      </c>
      <c r="AN5">
        <f t="shared" ref="AN5:AN68" si="13">AJ5*$D$14</f>
        <v>804.09858689941586</v>
      </c>
      <c r="AO5">
        <f t="shared" ref="AO5:AO68" si="14">AJ5*$D$15</f>
        <v>98.987797822891068</v>
      </c>
      <c r="AP5">
        <f t="shared" si="1"/>
        <v>3474.5000668493285</v>
      </c>
      <c r="AQ5">
        <f t="shared" si="2"/>
        <v>804.09858689941586</v>
      </c>
      <c r="AR5">
        <f t="shared" ref="AR5:AR68" si="15">AK5*$D$15</f>
        <v>98.987797822891068</v>
      </c>
    </row>
    <row r="6" spans="2:44" x14ac:dyDescent="0.25">
      <c r="I6">
        <v>3</v>
      </c>
      <c r="J6">
        <v>5</v>
      </c>
      <c r="K6">
        <v>12</v>
      </c>
      <c r="L6">
        <v>5</v>
      </c>
      <c r="M6">
        <v>12</v>
      </c>
      <c r="N6">
        <f t="shared" ref="N6:N69" si="16">AVERAGE(J6,L6)</f>
        <v>5</v>
      </c>
      <c r="O6">
        <f t="shared" ref="O6:O69" si="17">(PI()/4*(U6-2*V6)^2)-(PI()/4*(U6-2*V6-2*N6*0.001)^2)</f>
        <v>1.7200219778404136E-2</v>
      </c>
      <c r="P6">
        <f t="shared" ref="P6:P69" si="18">(PI()/4*(U6-2*V6)^2)-(PI()/4*(U6-2*V6-2*M6*0.001)^2)</f>
        <v>4.1016633685268422E-2</v>
      </c>
      <c r="Q6">
        <v>3</v>
      </c>
      <c r="R6" t="str">
        <v>submerged</v>
      </c>
      <c r="S6" t="str">
        <v>leg</v>
      </c>
      <c r="T6">
        <v>0.87489656531500426</v>
      </c>
      <c r="U6">
        <v>1.2</v>
      </c>
      <c r="V6">
        <v>0.05</v>
      </c>
      <c r="W6">
        <v>1240.6351618656381</v>
      </c>
      <c r="X6" t="str">
        <v>L2</v>
      </c>
      <c r="Z6">
        <f t="shared" si="3"/>
        <v>0</v>
      </c>
      <c r="AA6">
        <f t="shared" si="4"/>
        <v>0.18064157758141328</v>
      </c>
      <c r="AB6">
        <f t="shared" si="5"/>
        <v>0</v>
      </c>
      <c r="AC6">
        <f t="shared" si="6"/>
        <v>0</v>
      </c>
      <c r="AD6">
        <f t="shared" si="7"/>
        <v>0</v>
      </c>
      <c r="AE6">
        <f t="shared" si="8"/>
        <v>0</v>
      </c>
      <c r="AH6">
        <f t="shared" si="0"/>
        <v>0.87489656531500426</v>
      </c>
      <c r="AI6">
        <f t="shared" si="9"/>
        <v>1240.6351618656395</v>
      </c>
      <c r="AJ6">
        <f t="shared" si="10"/>
        <v>1240.6351618656395</v>
      </c>
      <c r="AK6">
        <f t="shared" si="11"/>
        <v>1240.6351618656395</v>
      </c>
      <c r="AM6">
        <f t="shared" si="12"/>
        <v>3039.556146570817</v>
      </c>
      <c r="AN6">
        <f t="shared" si="13"/>
        <v>703.44013677781754</v>
      </c>
      <c r="AO6">
        <f t="shared" si="14"/>
        <v>86.596334298221635</v>
      </c>
      <c r="AP6">
        <f t="shared" si="1"/>
        <v>3039.556146570817</v>
      </c>
      <c r="AQ6">
        <f t="shared" si="2"/>
        <v>703.44013677781754</v>
      </c>
      <c r="AR6">
        <f t="shared" si="15"/>
        <v>86.596334298221635</v>
      </c>
    </row>
    <row r="7" spans="2:44" x14ac:dyDescent="0.25">
      <c r="B7" t="s">
        <v>55</v>
      </c>
      <c r="D7">
        <v>7850</v>
      </c>
      <c r="E7" t="s">
        <v>56</v>
      </c>
      <c r="I7">
        <v>4</v>
      </c>
      <c r="J7">
        <v>5</v>
      </c>
      <c r="K7">
        <v>12</v>
      </c>
      <c r="L7">
        <v>5</v>
      </c>
      <c r="M7">
        <v>12</v>
      </c>
      <c r="N7">
        <f t="shared" si="16"/>
        <v>5</v>
      </c>
      <c r="O7">
        <f t="shared" si="17"/>
        <v>1.7200219778404136E-2</v>
      </c>
      <c r="P7">
        <f t="shared" si="18"/>
        <v>4.1016633685268422E-2</v>
      </c>
      <c r="Q7">
        <v>4</v>
      </c>
      <c r="R7" t="str">
        <v>submerged</v>
      </c>
      <c r="S7" t="str">
        <v>leg</v>
      </c>
      <c r="T7">
        <v>18.53282603922025</v>
      </c>
      <c r="U7">
        <v>1.2</v>
      </c>
      <c r="V7">
        <v>0.05</v>
      </c>
      <c r="W7">
        <v>26280.221622218101</v>
      </c>
      <c r="X7" t="str">
        <v>L2</v>
      </c>
      <c r="Z7">
        <f t="shared" si="3"/>
        <v>14.932826039220251</v>
      </c>
      <c r="AA7">
        <f t="shared" si="4"/>
        <v>0.18064157758141328</v>
      </c>
      <c r="AB7">
        <f t="shared" si="5"/>
        <v>21175.290639767394</v>
      </c>
      <c r="AC7">
        <f t="shared" si="6"/>
        <v>51879.462067430119</v>
      </c>
      <c r="AD7">
        <f t="shared" si="7"/>
        <v>12006.389792748112</v>
      </c>
      <c r="AE7">
        <f>AB7*$D$15</f>
        <v>1478.0352866557641</v>
      </c>
      <c r="AH7">
        <f t="shared" si="0"/>
        <v>3.5999999999999996</v>
      </c>
      <c r="AI7">
        <f t="shared" si="9"/>
        <v>5104.9309824507382</v>
      </c>
      <c r="AJ7">
        <f t="shared" si="10"/>
        <v>5591.0091933884387</v>
      </c>
      <c r="AK7">
        <f t="shared" si="11"/>
        <v>6264.0610503964235</v>
      </c>
      <c r="AM7">
        <f t="shared" si="12"/>
        <v>13697.972523801676</v>
      </c>
      <c r="AN7">
        <f t="shared" si="13"/>
        <v>3170.1022126512444</v>
      </c>
      <c r="AO7">
        <f t="shared" si="14"/>
        <v>390.25244169851305</v>
      </c>
      <c r="AP7">
        <f t="shared" si="1"/>
        <v>15346.949573471238</v>
      </c>
      <c r="AQ7">
        <f t="shared" si="2"/>
        <v>3551.7226155747717</v>
      </c>
      <c r="AR7">
        <f t="shared" si="15"/>
        <v>437.23146131767038</v>
      </c>
    </row>
    <row r="8" spans="2:44" x14ac:dyDescent="0.25">
      <c r="O8">
        <f t="shared" si="17"/>
        <v>0</v>
      </c>
      <c r="P8">
        <f t="shared" si="18"/>
        <v>0</v>
      </c>
      <c r="Q8">
        <v>5</v>
      </c>
      <c r="R8" t="str">
        <v>submerged</v>
      </c>
      <c r="S8" t="str">
        <v>leg</v>
      </c>
      <c r="T8">
        <v>0.5</v>
      </c>
      <c r="U8">
        <v>1.2</v>
      </c>
      <c r="V8">
        <v>0.05</v>
      </c>
      <c r="W8">
        <v>709.01819200704631</v>
      </c>
      <c r="X8" t="str">
        <v>L2</v>
      </c>
      <c r="Z8">
        <f t="shared" si="3"/>
        <v>0</v>
      </c>
      <c r="AA8">
        <f t="shared" si="4"/>
        <v>0.18064157758141328</v>
      </c>
      <c r="AB8">
        <f t="shared" si="5"/>
        <v>0</v>
      </c>
      <c r="AC8">
        <f t="shared" si="6"/>
        <v>0</v>
      </c>
      <c r="AD8">
        <f t="shared" si="7"/>
        <v>0</v>
      </c>
      <c r="AE8">
        <f t="shared" si="8"/>
        <v>0</v>
      </c>
      <c r="AH8">
        <f t="shared" si="0"/>
        <v>0.5</v>
      </c>
      <c r="AI8">
        <f t="shared" si="9"/>
        <v>709.01819200704711</v>
      </c>
      <c r="AJ8">
        <f t="shared" si="10"/>
        <v>709.01819200704711</v>
      </c>
      <c r="AK8">
        <f t="shared" si="11"/>
        <v>709.01819200704711</v>
      </c>
      <c r="AM8">
        <f t="shared" si="12"/>
        <v>1737.0945704172655</v>
      </c>
      <c r="AN8">
        <f t="shared" si="13"/>
        <v>402.01331486799569</v>
      </c>
      <c r="AO8">
        <f t="shared" si="14"/>
        <v>49.48946980209189</v>
      </c>
      <c r="AP8">
        <f t="shared" si="1"/>
        <v>1737.0945704172655</v>
      </c>
      <c r="AQ8">
        <f t="shared" si="2"/>
        <v>402.01331486799569</v>
      </c>
      <c r="AR8">
        <f t="shared" si="15"/>
        <v>49.48946980209189</v>
      </c>
    </row>
    <row r="9" spans="2:44" x14ac:dyDescent="0.25">
      <c r="B9" t="s">
        <v>58</v>
      </c>
      <c r="D9">
        <v>5.9999999999999995E-4</v>
      </c>
      <c r="E9" t="s">
        <v>65</v>
      </c>
      <c r="I9">
        <v>6</v>
      </c>
      <c r="J9">
        <v>0</v>
      </c>
      <c r="K9">
        <v>0</v>
      </c>
      <c r="L9">
        <v>5</v>
      </c>
      <c r="M9">
        <v>12</v>
      </c>
      <c r="N9">
        <f t="shared" si="16"/>
        <v>2.5</v>
      </c>
      <c r="O9">
        <f t="shared" si="17"/>
        <v>8.6197448432868695E-3</v>
      </c>
      <c r="P9">
        <f t="shared" si="18"/>
        <v>4.1016633685268422E-2</v>
      </c>
      <c r="Q9">
        <v>6</v>
      </c>
      <c r="R9" t="str">
        <v>submerged</v>
      </c>
      <c r="S9" t="str">
        <v>leg</v>
      </c>
      <c r="T9">
        <v>1.000089495995236</v>
      </c>
      <c r="U9">
        <v>1.2</v>
      </c>
      <c r="V9">
        <v>0.05</v>
      </c>
      <c r="W9">
        <v>1418.163292591561</v>
      </c>
      <c r="X9" t="str">
        <v>L2</v>
      </c>
      <c r="Z9">
        <f t="shared" si="3"/>
        <v>0</v>
      </c>
      <c r="AA9">
        <f t="shared" si="4"/>
        <v>0.18064157758141328</v>
      </c>
      <c r="AB9">
        <f t="shared" si="5"/>
        <v>0</v>
      </c>
      <c r="AC9">
        <f t="shared" si="6"/>
        <v>0</v>
      </c>
      <c r="AD9">
        <f t="shared" si="7"/>
        <v>0</v>
      </c>
      <c r="AE9">
        <f t="shared" si="8"/>
        <v>0</v>
      </c>
      <c r="AH9">
        <f t="shared" si="0"/>
        <v>1.000089495995236</v>
      </c>
      <c r="AI9">
        <f t="shared" si="9"/>
        <v>1418.1632925915626</v>
      </c>
      <c r="AJ9">
        <f t="shared" si="10"/>
        <v>1418.1632925915626</v>
      </c>
      <c r="AK9">
        <f t="shared" si="11"/>
        <v>1418.1632925915626</v>
      </c>
      <c r="AM9">
        <f t="shared" si="12"/>
        <v>3474.5000668493285</v>
      </c>
      <c r="AN9">
        <f t="shared" si="13"/>
        <v>804.09858689941586</v>
      </c>
      <c r="AO9">
        <f t="shared" si="14"/>
        <v>98.987797822891068</v>
      </c>
      <c r="AP9">
        <f t="shared" si="1"/>
        <v>3474.5000668493285</v>
      </c>
      <c r="AQ9">
        <f t="shared" si="2"/>
        <v>804.09858689941586</v>
      </c>
      <c r="AR9">
        <f t="shared" si="15"/>
        <v>98.987797822891068</v>
      </c>
    </row>
    <row r="10" spans="2:44" x14ac:dyDescent="0.25">
      <c r="B10" t="s">
        <v>59</v>
      </c>
      <c r="D10">
        <v>2.9999999999999997E-4</v>
      </c>
      <c r="E10" t="s">
        <v>65</v>
      </c>
      <c r="I10">
        <v>7</v>
      </c>
      <c r="J10">
        <v>5</v>
      </c>
      <c r="K10">
        <v>12</v>
      </c>
      <c r="L10">
        <v>5</v>
      </c>
      <c r="M10">
        <v>12</v>
      </c>
      <c r="N10">
        <f t="shared" si="16"/>
        <v>5</v>
      </c>
      <c r="O10">
        <f t="shared" si="17"/>
        <v>1.7200219778404136E-2</v>
      </c>
      <c r="P10">
        <f t="shared" si="18"/>
        <v>4.1016633685268422E-2</v>
      </c>
      <c r="Q10">
        <v>7</v>
      </c>
      <c r="R10" t="str">
        <v>submerged</v>
      </c>
      <c r="S10" t="str">
        <v>leg</v>
      </c>
      <c r="T10">
        <v>0.87489656531500426</v>
      </c>
      <c r="U10">
        <v>1.2</v>
      </c>
      <c r="V10">
        <v>0.05</v>
      </c>
      <c r="W10">
        <v>1240.6351618656381</v>
      </c>
      <c r="X10" t="str">
        <v>L2</v>
      </c>
      <c r="Z10">
        <f t="shared" si="3"/>
        <v>0</v>
      </c>
      <c r="AA10">
        <f t="shared" si="4"/>
        <v>0.18064157758141328</v>
      </c>
      <c r="AB10">
        <f t="shared" si="5"/>
        <v>0</v>
      </c>
      <c r="AC10">
        <f t="shared" si="6"/>
        <v>0</v>
      </c>
      <c r="AD10">
        <f t="shared" si="7"/>
        <v>0</v>
      </c>
      <c r="AE10">
        <f t="shared" si="8"/>
        <v>0</v>
      </c>
      <c r="AH10">
        <f t="shared" si="0"/>
        <v>0.87489656531500426</v>
      </c>
      <c r="AI10">
        <f t="shared" si="9"/>
        <v>1240.6351618656395</v>
      </c>
      <c r="AJ10">
        <f t="shared" si="10"/>
        <v>1240.6351618656395</v>
      </c>
      <c r="AK10">
        <f t="shared" si="11"/>
        <v>1240.6351618656395</v>
      </c>
      <c r="AM10">
        <f t="shared" si="12"/>
        <v>3039.556146570817</v>
      </c>
      <c r="AN10">
        <f t="shared" si="13"/>
        <v>703.44013677781754</v>
      </c>
      <c r="AO10">
        <f t="shared" si="14"/>
        <v>86.596334298221635</v>
      </c>
      <c r="AP10">
        <f t="shared" si="1"/>
        <v>3039.556146570817</v>
      </c>
      <c r="AQ10">
        <f t="shared" si="2"/>
        <v>703.44013677781754</v>
      </c>
      <c r="AR10">
        <f t="shared" si="15"/>
        <v>86.596334298221635</v>
      </c>
    </row>
    <row r="11" spans="2:44" x14ac:dyDescent="0.25">
      <c r="B11" t="s">
        <v>60</v>
      </c>
      <c r="D11">
        <v>25</v>
      </c>
      <c r="E11" t="s">
        <v>61</v>
      </c>
      <c r="I11">
        <v>8</v>
      </c>
      <c r="J11">
        <v>5</v>
      </c>
      <c r="K11">
        <v>12</v>
      </c>
      <c r="L11">
        <v>5</v>
      </c>
      <c r="M11">
        <v>12</v>
      </c>
      <c r="N11">
        <f t="shared" si="16"/>
        <v>5</v>
      </c>
      <c r="O11">
        <f t="shared" si="17"/>
        <v>1.7200219778404136E-2</v>
      </c>
      <c r="P11">
        <f t="shared" si="18"/>
        <v>4.1016633685268422E-2</v>
      </c>
      <c r="Q11">
        <v>8</v>
      </c>
      <c r="R11" t="str">
        <v>submerged</v>
      </c>
      <c r="S11" t="str">
        <v>leg</v>
      </c>
      <c r="T11">
        <v>18.53282603922025</v>
      </c>
      <c r="U11">
        <v>1.2</v>
      </c>
      <c r="V11">
        <v>0.05</v>
      </c>
      <c r="W11">
        <v>26280.221622218101</v>
      </c>
      <c r="X11" t="str">
        <v>L2</v>
      </c>
      <c r="Z11">
        <f t="shared" si="3"/>
        <v>14.932826039220251</v>
      </c>
      <c r="AA11">
        <f t="shared" si="4"/>
        <v>0.18064157758141328</v>
      </c>
      <c r="AB11">
        <f t="shared" si="5"/>
        <v>21175.290639767394</v>
      </c>
      <c r="AC11">
        <f t="shared" si="6"/>
        <v>51879.462067430119</v>
      </c>
      <c r="AD11">
        <f t="shared" si="7"/>
        <v>12006.389792748112</v>
      </c>
      <c r="AE11">
        <f t="shared" si="8"/>
        <v>1478.0352866557641</v>
      </c>
      <c r="AH11">
        <f t="shared" si="0"/>
        <v>3.5999999999999996</v>
      </c>
      <c r="AI11">
        <f t="shared" si="9"/>
        <v>5104.9309824507382</v>
      </c>
      <c r="AJ11">
        <f t="shared" si="10"/>
        <v>5591.0091933884387</v>
      </c>
      <c r="AK11">
        <f t="shared" si="11"/>
        <v>6264.0610503964235</v>
      </c>
      <c r="AM11">
        <f t="shared" si="12"/>
        <v>13697.972523801676</v>
      </c>
      <c r="AN11">
        <f t="shared" si="13"/>
        <v>3170.1022126512444</v>
      </c>
      <c r="AO11">
        <f t="shared" si="14"/>
        <v>390.25244169851305</v>
      </c>
      <c r="AP11">
        <f t="shared" si="1"/>
        <v>15346.949573471238</v>
      </c>
      <c r="AQ11">
        <f t="shared" si="2"/>
        <v>3551.7226155747717</v>
      </c>
      <c r="AR11">
        <f t="shared" si="15"/>
        <v>437.23146131767038</v>
      </c>
    </row>
    <row r="12" spans="2:44" x14ac:dyDescent="0.25">
      <c r="O12">
        <f t="shared" si="17"/>
        <v>0</v>
      </c>
      <c r="P12">
        <f t="shared" si="18"/>
        <v>0</v>
      </c>
      <c r="Q12">
        <v>9</v>
      </c>
      <c r="R12" t="str">
        <v>submerged</v>
      </c>
      <c r="S12" t="str">
        <v>leg</v>
      </c>
      <c r="T12">
        <v>0.5</v>
      </c>
      <c r="U12">
        <v>1.2</v>
      </c>
      <c r="V12">
        <v>0.05</v>
      </c>
      <c r="W12">
        <v>709.01819200704631</v>
      </c>
      <c r="X12" t="str">
        <v>L2</v>
      </c>
      <c r="Z12">
        <f t="shared" si="3"/>
        <v>0</v>
      </c>
      <c r="AA12">
        <f t="shared" si="4"/>
        <v>0.18064157758141328</v>
      </c>
      <c r="AB12">
        <f t="shared" si="5"/>
        <v>0</v>
      </c>
      <c r="AC12">
        <f t="shared" si="6"/>
        <v>0</v>
      </c>
      <c r="AD12">
        <f t="shared" si="7"/>
        <v>0</v>
      </c>
      <c r="AE12">
        <f t="shared" si="8"/>
        <v>0</v>
      </c>
      <c r="AH12">
        <f t="shared" si="0"/>
        <v>0.5</v>
      </c>
      <c r="AI12">
        <f t="shared" si="9"/>
        <v>709.01819200704711</v>
      </c>
      <c r="AJ12">
        <f t="shared" si="10"/>
        <v>709.01819200704711</v>
      </c>
      <c r="AK12">
        <f t="shared" si="11"/>
        <v>709.01819200704711</v>
      </c>
      <c r="AM12">
        <f t="shared" si="12"/>
        <v>1737.0945704172655</v>
      </c>
      <c r="AN12">
        <f t="shared" si="13"/>
        <v>402.01331486799569</v>
      </c>
      <c r="AO12">
        <f t="shared" si="14"/>
        <v>49.48946980209189</v>
      </c>
      <c r="AP12">
        <f t="shared" si="1"/>
        <v>1737.0945704172655</v>
      </c>
      <c r="AQ12">
        <f t="shared" si="2"/>
        <v>402.01331486799569</v>
      </c>
      <c r="AR12">
        <f t="shared" si="15"/>
        <v>49.48946980209189</v>
      </c>
    </row>
    <row r="13" spans="2:44" x14ac:dyDescent="0.25">
      <c r="B13" t="s">
        <v>72</v>
      </c>
      <c r="D13">
        <v>2.4500000000000002</v>
      </c>
      <c r="E13" t="s">
        <v>62</v>
      </c>
      <c r="I13">
        <v>10</v>
      </c>
      <c r="J13">
        <v>0</v>
      </c>
      <c r="K13">
        <v>0</v>
      </c>
      <c r="L13">
        <v>5</v>
      </c>
      <c r="M13">
        <v>12</v>
      </c>
      <c r="N13">
        <f t="shared" si="16"/>
        <v>2.5</v>
      </c>
      <c r="O13">
        <f t="shared" si="17"/>
        <v>8.6197448432868695E-3</v>
      </c>
      <c r="P13">
        <f t="shared" si="18"/>
        <v>4.1016633685268422E-2</v>
      </c>
      <c r="Q13">
        <v>10</v>
      </c>
      <c r="R13" t="str">
        <v>submerged</v>
      </c>
      <c r="S13" t="str">
        <v>leg</v>
      </c>
      <c r="T13">
        <v>1.000089495995236</v>
      </c>
      <c r="U13">
        <v>1.2</v>
      </c>
      <c r="V13">
        <v>0.05</v>
      </c>
      <c r="W13">
        <v>1418.163292591561</v>
      </c>
      <c r="X13" t="str">
        <v>L2</v>
      </c>
      <c r="Z13">
        <f t="shared" si="3"/>
        <v>0</v>
      </c>
      <c r="AA13">
        <f t="shared" si="4"/>
        <v>0.18064157758141328</v>
      </c>
      <c r="AB13">
        <f t="shared" si="5"/>
        <v>0</v>
      </c>
      <c r="AC13">
        <f t="shared" si="6"/>
        <v>0</v>
      </c>
      <c r="AD13">
        <f t="shared" si="7"/>
        <v>0</v>
      </c>
      <c r="AE13">
        <f t="shared" si="8"/>
        <v>0</v>
      </c>
      <c r="AH13">
        <f t="shared" si="0"/>
        <v>1.000089495995236</v>
      </c>
      <c r="AI13">
        <f t="shared" si="9"/>
        <v>1418.1632925915626</v>
      </c>
      <c r="AJ13">
        <f t="shared" si="10"/>
        <v>1418.1632925915626</v>
      </c>
      <c r="AK13">
        <f t="shared" si="11"/>
        <v>1418.1632925915626</v>
      </c>
      <c r="AM13">
        <f t="shared" si="12"/>
        <v>3474.5000668493285</v>
      </c>
      <c r="AN13">
        <f t="shared" si="13"/>
        <v>804.09858689941586</v>
      </c>
      <c r="AO13">
        <f t="shared" si="14"/>
        <v>98.987797822891068</v>
      </c>
      <c r="AP13">
        <f t="shared" si="1"/>
        <v>3474.5000668493285</v>
      </c>
      <c r="AQ13">
        <f t="shared" si="2"/>
        <v>804.09858689941586</v>
      </c>
      <c r="AR13">
        <f t="shared" si="15"/>
        <v>98.987797822891068</v>
      </c>
    </row>
    <row r="14" spans="2:44" x14ac:dyDescent="0.25">
      <c r="B14" t="s">
        <v>73</v>
      </c>
      <c r="D14">
        <v>0.56699999999999995</v>
      </c>
      <c r="E14" t="s">
        <v>62</v>
      </c>
      <c r="I14">
        <v>11</v>
      </c>
      <c r="J14">
        <v>5</v>
      </c>
      <c r="K14">
        <v>12</v>
      </c>
      <c r="L14">
        <v>5</v>
      </c>
      <c r="M14">
        <v>12</v>
      </c>
      <c r="N14">
        <f t="shared" si="16"/>
        <v>5</v>
      </c>
      <c r="O14">
        <f t="shared" si="17"/>
        <v>1.7200219778404136E-2</v>
      </c>
      <c r="P14">
        <f t="shared" si="18"/>
        <v>4.1016633685268422E-2</v>
      </c>
      <c r="Q14">
        <v>11</v>
      </c>
      <c r="R14" t="str">
        <v>submerged</v>
      </c>
      <c r="S14" t="str">
        <v>leg</v>
      </c>
      <c r="T14">
        <v>0.87489656531500426</v>
      </c>
      <c r="U14">
        <v>1.2</v>
      </c>
      <c r="V14">
        <v>0.05</v>
      </c>
      <c r="W14">
        <v>1240.6351618656381</v>
      </c>
      <c r="X14" t="str">
        <v>L2</v>
      </c>
      <c r="Z14">
        <f t="shared" si="3"/>
        <v>0</v>
      </c>
      <c r="AA14">
        <f t="shared" si="4"/>
        <v>0.18064157758141328</v>
      </c>
      <c r="AB14">
        <f t="shared" si="5"/>
        <v>0</v>
      </c>
      <c r="AC14">
        <f t="shared" si="6"/>
        <v>0</v>
      </c>
      <c r="AD14">
        <f t="shared" si="7"/>
        <v>0</v>
      </c>
      <c r="AE14">
        <f t="shared" si="8"/>
        <v>0</v>
      </c>
      <c r="AH14">
        <f t="shared" si="0"/>
        <v>0.87489656531500426</v>
      </c>
      <c r="AI14">
        <f t="shared" si="9"/>
        <v>1240.6351618656395</v>
      </c>
      <c r="AJ14">
        <f t="shared" si="10"/>
        <v>1240.6351618656395</v>
      </c>
      <c r="AK14">
        <f t="shared" si="11"/>
        <v>1240.6351618656395</v>
      </c>
      <c r="AM14">
        <f t="shared" si="12"/>
        <v>3039.556146570817</v>
      </c>
      <c r="AN14">
        <f t="shared" si="13"/>
        <v>703.44013677781754</v>
      </c>
      <c r="AO14">
        <f t="shared" si="14"/>
        <v>86.596334298221635</v>
      </c>
      <c r="AP14">
        <f t="shared" si="1"/>
        <v>3039.556146570817</v>
      </c>
      <c r="AQ14">
        <f t="shared" si="2"/>
        <v>703.44013677781754</v>
      </c>
      <c r="AR14">
        <f t="shared" si="15"/>
        <v>86.596334298221635</v>
      </c>
    </row>
    <row r="15" spans="2:44" x14ac:dyDescent="0.25">
      <c r="B15" t="s">
        <v>74</v>
      </c>
      <c r="D15">
        <v>6.9800000000000001E-2</v>
      </c>
      <c r="E15" t="s">
        <v>62</v>
      </c>
      <c r="I15">
        <v>12</v>
      </c>
      <c r="J15">
        <v>5</v>
      </c>
      <c r="K15">
        <v>12</v>
      </c>
      <c r="L15">
        <v>5</v>
      </c>
      <c r="M15">
        <v>12</v>
      </c>
      <c r="N15">
        <f t="shared" si="16"/>
        <v>5</v>
      </c>
      <c r="O15">
        <f t="shared" si="17"/>
        <v>1.7200219778404136E-2</v>
      </c>
      <c r="P15">
        <f t="shared" si="18"/>
        <v>4.1016633685268422E-2</v>
      </c>
      <c r="Q15">
        <v>12</v>
      </c>
      <c r="R15" t="str">
        <v>submerged</v>
      </c>
      <c r="S15" t="str">
        <v>leg</v>
      </c>
      <c r="T15">
        <v>18.53282603922025</v>
      </c>
      <c r="U15">
        <v>1.2</v>
      </c>
      <c r="V15">
        <v>0.05</v>
      </c>
      <c r="W15">
        <v>26280.221622218101</v>
      </c>
      <c r="X15" t="str">
        <v>L2</v>
      </c>
      <c r="Z15">
        <f t="shared" si="3"/>
        <v>14.932826039220251</v>
      </c>
      <c r="AA15">
        <f t="shared" si="4"/>
        <v>0.18064157758141328</v>
      </c>
      <c r="AB15">
        <f t="shared" si="5"/>
        <v>21175.290639767394</v>
      </c>
      <c r="AC15">
        <f t="shared" si="6"/>
        <v>51879.462067430119</v>
      </c>
      <c r="AD15">
        <f t="shared" si="7"/>
        <v>12006.389792748112</v>
      </c>
      <c r="AE15">
        <f t="shared" si="8"/>
        <v>1478.0352866557641</v>
      </c>
      <c r="AH15">
        <f t="shared" si="0"/>
        <v>3.5999999999999996</v>
      </c>
      <c r="AI15">
        <f t="shared" si="9"/>
        <v>5104.9309824507382</v>
      </c>
      <c r="AJ15">
        <f t="shared" si="10"/>
        <v>5591.0091933884387</v>
      </c>
      <c r="AK15">
        <f t="shared" si="11"/>
        <v>6264.0610503964235</v>
      </c>
      <c r="AM15">
        <f t="shared" si="12"/>
        <v>13697.972523801676</v>
      </c>
      <c r="AN15">
        <f t="shared" si="13"/>
        <v>3170.1022126512444</v>
      </c>
      <c r="AO15">
        <f t="shared" si="14"/>
        <v>390.25244169851305</v>
      </c>
      <c r="AP15">
        <f t="shared" si="1"/>
        <v>15346.949573471238</v>
      </c>
      <c r="AQ15">
        <f t="shared" si="2"/>
        <v>3551.7226155747717</v>
      </c>
      <c r="AR15">
        <f t="shared" si="15"/>
        <v>437.23146131767038</v>
      </c>
    </row>
    <row r="16" spans="2:44" x14ac:dyDescent="0.25">
      <c r="O16">
        <f t="shared" si="17"/>
        <v>0</v>
      </c>
      <c r="P16">
        <f t="shared" si="18"/>
        <v>0</v>
      </c>
      <c r="Q16">
        <v>13</v>
      </c>
      <c r="R16" t="str">
        <v>submerged</v>
      </c>
      <c r="S16" t="str">
        <v>leg</v>
      </c>
      <c r="T16">
        <v>0.5</v>
      </c>
      <c r="U16">
        <v>1.2</v>
      </c>
      <c r="V16">
        <v>0.05</v>
      </c>
      <c r="W16">
        <v>709.01819200704631</v>
      </c>
      <c r="X16" t="str">
        <v>L2</v>
      </c>
      <c r="Z16">
        <f t="shared" si="3"/>
        <v>0</v>
      </c>
      <c r="AA16">
        <f t="shared" si="4"/>
        <v>0.18064157758141328</v>
      </c>
      <c r="AB16">
        <f t="shared" si="5"/>
        <v>0</v>
      </c>
      <c r="AC16">
        <f t="shared" si="6"/>
        <v>0</v>
      </c>
      <c r="AD16">
        <f t="shared" si="7"/>
        <v>0</v>
      </c>
      <c r="AE16">
        <f t="shared" si="8"/>
        <v>0</v>
      </c>
      <c r="AH16">
        <f t="shared" si="0"/>
        <v>0.5</v>
      </c>
      <c r="AI16">
        <f t="shared" si="9"/>
        <v>709.01819200704711</v>
      </c>
      <c r="AJ16">
        <f t="shared" si="10"/>
        <v>709.01819200704711</v>
      </c>
      <c r="AK16">
        <f t="shared" si="11"/>
        <v>709.01819200704711</v>
      </c>
      <c r="AM16">
        <f t="shared" si="12"/>
        <v>1737.0945704172655</v>
      </c>
      <c r="AN16">
        <f t="shared" si="13"/>
        <v>402.01331486799569</v>
      </c>
      <c r="AO16">
        <f t="shared" si="14"/>
        <v>49.48946980209189</v>
      </c>
      <c r="AP16">
        <f t="shared" si="1"/>
        <v>1737.0945704172655</v>
      </c>
      <c r="AQ16">
        <f t="shared" si="2"/>
        <v>402.01331486799569</v>
      </c>
      <c r="AR16">
        <f t="shared" si="15"/>
        <v>49.48946980209189</v>
      </c>
    </row>
    <row r="17" spans="2:44" x14ac:dyDescent="0.25">
      <c r="I17">
        <v>14</v>
      </c>
      <c r="J17">
        <v>0</v>
      </c>
      <c r="K17">
        <v>0</v>
      </c>
      <c r="L17">
        <v>5</v>
      </c>
      <c r="M17">
        <v>12</v>
      </c>
      <c r="N17">
        <f t="shared" si="16"/>
        <v>2.5</v>
      </c>
      <c r="O17">
        <f t="shared" si="17"/>
        <v>8.6197448432868695E-3</v>
      </c>
      <c r="P17">
        <f t="shared" si="18"/>
        <v>4.1016633685268422E-2</v>
      </c>
      <c r="Q17">
        <v>14</v>
      </c>
      <c r="R17" t="str">
        <v>submerged</v>
      </c>
      <c r="S17" t="str">
        <v>leg</v>
      </c>
      <c r="T17">
        <v>1.000089495995236</v>
      </c>
      <c r="U17">
        <v>1.2</v>
      </c>
      <c r="V17">
        <v>0.05</v>
      </c>
      <c r="W17">
        <v>1418.163292591561</v>
      </c>
      <c r="X17" t="str">
        <v>L2</v>
      </c>
      <c r="Z17">
        <f t="shared" si="3"/>
        <v>0</v>
      </c>
      <c r="AA17">
        <f t="shared" si="4"/>
        <v>0.18064157758141328</v>
      </c>
      <c r="AB17">
        <f t="shared" si="5"/>
        <v>0</v>
      </c>
      <c r="AC17">
        <f t="shared" si="6"/>
        <v>0</v>
      </c>
      <c r="AD17">
        <f t="shared" si="7"/>
        <v>0</v>
      </c>
      <c r="AE17">
        <f t="shared" si="8"/>
        <v>0</v>
      </c>
      <c r="AH17">
        <f t="shared" si="0"/>
        <v>1.000089495995236</v>
      </c>
      <c r="AI17">
        <f t="shared" si="9"/>
        <v>1418.1632925915626</v>
      </c>
      <c r="AJ17">
        <f t="shared" si="10"/>
        <v>1418.1632925915626</v>
      </c>
      <c r="AK17">
        <f t="shared" si="11"/>
        <v>1418.1632925915626</v>
      </c>
      <c r="AM17">
        <f t="shared" si="12"/>
        <v>3474.5000668493285</v>
      </c>
      <c r="AN17">
        <f t="shared" si="13"/>
        <v>804.09858689941586</v>
      </c>
      <c r="AO17">
        <f t="shared" si="14"/>
        <v>98.987797822891068</v>
      </c>
      <c r="AP17">
        <f t="shared" si="1"/>
        <v>3474.5000668493285</v>
      </c>
      <c r="AQ17">
        <f t="shared" si="2"/>
        <v>804.09858689941586</v>
      </c>
      <c r="AR17">
        <f t="shared" si="15"/>
        <v>98.987797822891068</v>
      </c>
    </row>
    <row r="18" spans="2:44" x14ac:dyDescent="0.25">
      <c r="B18" t="s">
        <v>80</v>
      </c>
      <c r="I18">
        <v>15</v>
      </c>
      <c r="J18">
        <v>5</v>
      </c>
      <c r="K18">
        <v>12</v>
      </c>
      <c r="L18">
        <v>5</v>
      </c>
      <c r="M18">
        <v>12</v>
      </c>
      <c r="N18">
        <f t="shared" si="16"/>
        <v>5</v>
      </c>
      <c r="O18">
        <f t="shared" si="17"/>
        <v>1.7200219778404136E-2</v>
      </c>
      <c r="P18">
        <f t="shared" si="18"/>
        <v>4.1016633685268422E-2</v>
      </c>
      <c r="Q18">
        <v>15</v>
      </c>
      <c r="R18" t="str">
        <v>submerged</v>
      </c>
      <c r="S18" t="str">
        <v>leg</v>
      </c>
      <c r="T18">
        <v>0.87489656531500426</v>
      </c>
      <c r="U18">
        <v>1.2</v>
      </c>
      <c r="V18">
        <v>0.05</v>
      </c>
      <c r="W18">
        <v>1240.6351618656381</v>
      </c>
      <c r="X18" t="str">
        <v>L2</v>
      </c>
      <c r="Z18">
        <f t="shared" si="3"/>
        <v>0</v>
      </c>
      <c r="AA18">
        <f t="shared" si="4"/>
        <v>0.18064157758141328</v>
      </c>
      <c r="AB18">
        <f t="shared" si="5"/>
        <v>0</v>
      </c>
      <c r="AC18">
        <f t="shared" si="6"/>
        <v>0</v>
      </c>
      <c r="AD18">
        <f t="shared" si="7"/>
        <v>0</v>
      </c>
      <c r="AE18">
        <f t="shared" si="8"/>
        <v>0</v>
      </c>
      <c r="AH18">
        <f t="shared" si="0"/>
        <v>0.87489656531500426</v>
      </c>
      <c r="AI18">
        <f t="shared" si="9"/>
        <v>1240.6351618656395</v>
      </c>
      <c r="AJ18">
        <f t="shared" si="10"/>
        <v>1240.6351618656395</v>
      </c>
      <c r="AK18">
        <f t="shared" si="11"/>
        <v>1240.6351618656395</v>
      </c>
      <c r="AM18">
        <f t="shared" si="12"/>
        <v>3039.556146570817</v>
      </c>
      <c r="AN18">
        <f t="shared" si="13"/>
        <v>703.44013677781754</v>
      </c>
      <c r="AO18">
        <f t="shared" si="14"/>
        <v>86.596334298221635</v>
      </c>
      <c r="AP18">
        <f t="shared" si="1"/>
        <v>3039.556146570817</v>
      </c>
      <c r="AQ18">
        <f t="shared" si="2"/>
        <v>703.44013677781754</v>
      </c>
      <c r="AR18">
        <f t="shared" si="15"/>
        <v>86.596334298221635</v>
      </c>
    </row>
    <row r="19" spans="2:44" x14ac:dyDescent="0.25">
      <c r="C19" t="s">
        <v>78</v>
      </c>
      <c r="E19" t="s">
        <v>79</v>
      </c>
      <c r="I19">
        <v>16</v>
      </c>
      <c r="J19">
        <v>5</v>
      </c>
      <c r="K19">
        <v>12</v>
      </c>
      <c r="L19">
        <v>5</v>
      </c>
      <c r="M19">
        <v>12</v>
      </c>
      <c r="N19">
        <f t="shared" si="16"/>
        <v>5</v>
      </c>
      <c r="O19">
        <f t="shared" si="17"/>
        <v>1.7200219778404136E-2</v>
      </c>
      <c r="P19">
        <f t="shared" si="18"/>
        <v>4.1016633685268422E-2</v>
      </c>
      <c r="Q19">
        <v>16</v>
      </c>
      <c r="R19" t="str">
        <v>submerged</v>
      </c>
      <c r="S19" t="str">
        <v>leg</v>
      </c>
      <c r="T19">
        <v>18.53282603922025</v>
      </c>
      <c r="U19">
        <v>1.2</v>
      </c>
      <c r="V19">
        <v>0.05</v>
      </c>
      <c r="W19">
        <v>26280.221622218101</v>
      </c>
      <c r="X19" t="str">
        <v>L2</v>
      </c>
      <c r="Z19">
        <f t="shared" si="3"/>
        <v>14.932826039220251</v>
      </c>
      <c r="AA19">
        <f t="shared" si="4"/>
        <v>0.18064157758141328</v>
      </c>
      <c r="AB19">
        <f t="shared" si="5"/>
        <v>21175.290639767394</v>
      </c>
      <c r="AC19">
        <f t="shared" si="6"/>
        <v>51879.462067430119</v>
      </c>
      <c r="AD19">
        <f t="shared" si="7"/>
        <v>12006.389792748112</v>
      </c>
      <c r="AE19">
        <f t="shared" si="8"/>
        <v>1478.0352866557641</v>
      </c>
      <c r="AH19">
        <f t="shared" si="0"/>
        <v>3.5999999999999996</v>
      </c>
      <c r="AI19">
        <f t="shared" si="9"/>
        <v>5104.9309824507382</v>
      </c>
      <c r="AJ19">
        <f t="shared" si="10"/>
        <v>5591.0091933884387</v>
      </c>
      <c r="AK19">
        <f t="shared" si="11"/>
        <v>6264.0610503964235</v>
      </c>
      <c r="AM19">
        <f t="shared" si="12"/>
        <v>13697.972523801676</v>
      </c>
      <c r="AN19">
        <f t="shared" si="13"/>
        <v>3170.1022126512444</v>
      </c>
      <c r="AO19">
        <f t="shared" si="14"/>
        <v>390.25244169851305</v>
      </c>
      <c r="AP19">
        <f t="shared" si="1"/>
        <v>15346.949573471238</v>
      </c>
      <c r="AQ19">
        <f t="shared" si="2"/>
        <v>3551.7226155747717</v>
      </c>
      <c r="AR19">
        <f t="shared" si="15"/>
        <v>437.23146131767038</v>
      </c>
    </row>
    <row r="20" spans="2:44" x14ac:dyDescent="0.25">
      <c r="B20" t="s">
        <v>75</v>
      </c>
      <c r="C20">
        <f>SUMIF(X4:X107,B20,AC4:AC107)-SUMIF(X4:X107,B20,AE4:AE107)</f>
        <v>0</v>
      </c>
      <c r="D20" s="1" t="s">
        <v>77</v>
      </c>
      <c r="E20">
        <f>SUMIF(X4:X107,B20,AD4:AD107)-SUMIF(X4:X107,B20,AE4:AE107)</f>
        <v>0</v>
      </c>
      <c r="F20" s="1" t="s">
        <v>77</v>
      </c>
      <c r="G20" s="1"/>
      <c r="H20" s="1"/>
      <c r="I20">
        <v>17</v>
      </c>
      <c r="J20">
        <v>5</v>
      </c>
      <c r="K20">
        <v>12</v>
      </c>
      <c r="L20">
        <v>5</v>
      </c>
      <c r="M20">
        <v>12</v>
      </c>
      <c r="N20">
        <f t="shared" si="16"/>
        <v>5</v>
      </c>
      <c r="O20">
        <f t="shared" si="17"/>
        <v>1.7671458676442486E-2</v>
      </c>
      <c r="P20">
        <f t="shared" si="18"/>
        <v>4.2147607040560531E-2</v>
      </c>
      <c r="Q20">
        <v>17</v>
      </c>
      <c r="R20" t="str">
        <v>submerged</v>
      </c>
      <c r="S20" t="str">
        <v>leg</v>
      </c>
      <c r="T20">
        <v>15.70876194994373</v>
      </c>
      <c r="U20">
        <v>1.2</v>
      </c>
      <c r="V20">
        <v>3.5000000000000003E-2</v>
      </c>
      <c r="W20">
        <v>15796.3030714418</v>
      </c>
      <c r="X20" t="str">
        <v>L2</v>
      </c>
      <c r="Z20">
        <f t="shared" si="3"/>
        <v>12.10876194994373</v>
      </c>
      <c r="AA20">
        <f t="shared" si="4"/>
        <v>0.128098440450124</v>
      </c>
      <c r="AB20">
        <f t="shared" si="5"/>
        <v>12176.241144321315</v>
      </c>
      <c r="AC20">
        <f t="shared" si="6"/>
        <v>29831.790803587224</v>
      </c>
      <c r="AD20">
        <f t="shared" si="7"/>
        <v>6903.9287288301848</v>
      </c>
      <c r="AE20">
        <f t="shared" si="8"/>
        <v>849.90163187362782</v>
      </c>
      <c r="AH20">
        <f t="shared" si="0"/>
        <v>3.5999999999999996</v>
      </c>
      <c r="AI20">
        <f t="shared" si="9"/>
        <v>3620.0619271205042</v>
      </c>
      <c r="AJ20">
        <f t="shared" si="10"/>
        <v>4119.4573493167691</v>
      </c>
      <c r="AK20">
        <f t="shared" si="11"/>
        <v>4811.1533020867446</v>
      </c>
      <c r="AM20">
        <f t="shared" si="12"/>
        <v>10092.670505826085</v>
      </c>
      <c r="AN20">
        <f t="shared" si="13"/>
        <v>2335.7323170626078</v>
      </c>
      <c r="AO20">
        <f t="shared" si="14"/>
        <v>287.53812298231048</v>
      </c>
      <c r="AP20">
        <f t="shared" si="1"/>
        <v>11787.325590112525</v>
      </c>
      <c r="AQ20">
        <f t="shared" si="2"/>
        <v>2727.9239222831839</v>
      </c>
      <c r="AR20">
        <f t="shared" si="15"/>
        <v>335.81850048565479</v>
      </c>
    </row>
    <row r="21" spans="2:44" x14ac:dyDescent="0.25">
      <c r="B21" t="s">
        <v>38</v>
      </c>
      <c r="C21">
        <f>(SUMIF(X4:X107,B21,AC4:AC107)-SUMIF(X4:X107,B21,AE4:AE107))/1000</f>
        <v>574.68972539026606</v>
      </c>
      <c r="E21">
        <f>(SUMIF(X4:X107,B21,AD4:AD107)-SUMIF(X4:X107,B21,AE4:AE107))/1000</f>
        <v>120.04694204858428</v>
      </c>
      <c r="I21">
        <v>18</v>
      </c>
      <c r="J21">
        <v>5</v>
      </c>
      <c r="K21">
        <v>12</v>
      </c>
      <c r="L21">
        <v>5</v>
      </c>
      <c r="M21">
        <v>12</v>
      </c>
      <c r="N21">
        <f t="shared" si="16"/>
        <v>5</v>
      </c>
      <c r="O21">
        <f t="shared" si="17"/>
        <v>1.7671458676442486E-2</v>
      </c>
      <c r="P21">
        <f t="shared" si="18"/>
        <v>4.2147607040560531E-2</v>
      </c>
      <c r="Q21">
        <v>18</v>
      </c>
      <c r="R21" t="str">
        <v>splash</v>
      </c>
      <c r="S21" t="str">
        <v>leg</v>
      </c>
      <c r="T21">
        <v>13.314219841958449</v>
      </c>
      <c r="U21">
        <v>1.2</v>
      </c>
      <c r="V21">
        <v>3.5000000000000003E-2</v>
      </c>
      <c r="W21">
        <v>13388.416760885029</v>
      </c>
      <c r="X21" t="str">
        <v>L3</v>
      </c>
      <c r="Z21">
        <f t="shared" si="3"/>
        <v>9.7142198419584496</v>
      </c>
      <c r="AA21">
        <f t="shared" si="4"/>
        <v>7.4141586624719147E-2</v>
      </c>
      <c r="AB21">
        <f t="shared" si="5"/>
        <v>5653.7872244474047</v>
      </c>
      <c r="AC21">
        <f t="shared" si="6"/>
        <v>13851.778699896142</v>
      </c>
      <c r="AD21">
        <f t="shared" si="7"/>
        <v>3205.6973562616781</v>
      </c>
      <c r="AE21">
        <f t="shared" si="8"/>
        <v>394.63434826642884</v>
      </c>
      <c r="AH21">
        <f t="shared" si="0"/>
        <v>3.5999999999999996</v>
      </c>
      <c r="AI21">
        <f t="shared" si="9"/>
        <v>2095.2412380145629</v>
      </c>
      <c r="AJ21">
        <f t="shared" si="10"/>
        <v>2594.6366602108274</v>
      </c>
      <c r="AK21">
        <f t="shared" si="11"/>
        <v>3286.3326129808033</v>
      </c>
      <c r="AM21">
        <f t="shared" si="12"/>
        <v>6356.8598175165271</v>
      </c>
      <c r="AN21">
        <f t="shared" si="13"/>
        <v>1471.1589863395391</v>
      </c>
      <c r="AO21">
        <f t="shared" si="14"/>
        <v>181.10563888271577</v>
      </c>
      <c r="AP21">
        <f t="shared" si="1"/>
        <v>8051.5149018029688</v>
      </c>
      <c r="AQ21">
        <f t="shared" si="2"/>
        <v>1863.3505915601154</v>
      </c>
      <c r="AR21">
        <f t="shared" si="15"/>
        <v>229.38601638606008</v>
      </c>
    </row>
    <row r="22" spans="2:44" x14ac:dyDescent="0.25">
      <c r="B22" t="s">
        <v>41</v>
      </c>
      <c r="C22">
        <f>(SUMIF(X4:X107,B22,AC4:AC107)-SUMIF(X4:X107,B22,AE4:AE107))/1000</f>
        <v>171.8597006909792</v>
      </c>
      <c r="E22">
        <f>(SUMIF(X4:X107,B22,AD4:AD107)-SUMIF(X4:X107,B22,AE4:AE107))/1000</f>
        <v>35.899774465824265</v>
      </c>
      <c r="I22">
        <v>19</v>
      </c>
      <c r="J22">
        <v>5</v>
      </c>
      <c r="K22">
        <v>12</v>
      </c>
      <c r="L22">
        <v>5</v>
      </c>
      <c r="M22">
        <v>12</v>
      </c>
      <c r="N22">
        <f t="shared" si="16"/>
        <v>5</v>
      </c>
      <c r="O22">
        <f t="shared" si="17"/>
        <v>1.7671458676442486E-2</v>
      </c>
      <c r="P22">
        <f t="shared" si="18"/>
        <v>4.2147607040560531E-2</v>
      </c>
      <c r="Q22">
        <v>19</v>
      </c>
      <c r="R22" t="str">
        <v>splash</v>
      </c>
      <c r="S22" t="str">
        <v>leg</v>
      </c>
      <c r="T22">
        <v>11.28507204230438</v>
      </c>
      <c r="U22">
        <v>1.2</v>
      </c>
      <c r="V22">
        <v>3.5000000000000003E-2</v>
      </c>
      <c r="W22">
        <v>11347.96101254391</v>
      </c>
      <c r="X22" t="str">
        <v>L3</v>
      </c>
      <c r="Z22">
        <f t="shared" si="3"/>
        <v>7.6850720423043803</v>
      </c>
      <c r="AA22">
        <f t="shared" si="4"/>
        <v>7.4141586624719147E-2</v>
      </c>
      <c r="AB22">
        <f t="shared" si="5"/>
        <v>4472.7999611524829</v>
      </c>
      <c r="AC22">
        <f t="shared" si="6"/>
        <v>10958.359904823585</v>
      </c>
      <c r="AD22">
        <f t="shared" si="7"/>
        <v>2536.0775779734577</v>
      </c>
      <c r="AE22">
        <f t="shared" si="8"/>
        <v>312.20143728844329</v>
      </c>
      <c r="AH22">
        <f t="shared" si="0"/>
        <v>3.5999999999999996</v>
      </c>
      <c r="AI22">
        <f>IF(S22="leg",AH22*AA22*$D$7,0)</f>
        <v>2095.2412380145629</v>
      </c>
      <c r="AJ22">
        <f t="shared" si="10"/>
        <v>2594.6366602108274</v>
      </c>
      <c r="AK22">
        <f t="shared" si="11"/>
        <v>3286.3326129808033</v>
      </c>
      <c r="AM22">
        <f t="shared" si="12"/>
        <v>6356.8598175165271</v>
      </c>
      <c r="AN22">
        <f t="shared" si="13"/>
        <v>1471.1589863395391</v>
      </c>
      <c r="AO22">
        <f t="shared" si="14"/>
        <v>181.10563888271577</v>
      </c>
      <c r="AP22">
        <f t="shared" si="1"/>
        <v>8051.5149018029688</v>
      </c>
      <c r="AQ22">
        <f t="shared" si="2"/>
        <v>1863.3505915601154</v>
      </c>
      <c r="AR22">
        <f t="shared" si="15"/>
        <v>229.38601638606008</v>
      </c>
    </row>
    <row r="23" spans="2:44" x14ac:dyDescent="0.25">
      <c r="I23">
        <v>20</v>
      </c>
      <c r="J23">
        <v>5</v>
      </c>
      <c r="K23">
        <v>12</v>
      </c>
      <c r="L23">
        <v>0</v>
      </c>
      <c r="M23">
        <v>0</v>
      </c>
      <c r="N23">
        <f t="shared" si="16"/>
        <v>2.5</v>
      </c>
      <c r="O23">
        <f t="shared" si="17"/>
        <v>8.8553642923059339E-3</v>
      </c>
      <c r="P23">
        <f t="shared" si="18"/>
        <v>0</v>
      </c>
      <c r="Q23">
        <v>20</v>
      </c>
      <c r="R23" t="str">
        <v>atmospheric</v>
      </c>
      <c r="S23" t="str">
        <v>leg</v>
      </c>
      <c r="T23">
        <v>0.49951276259971461</v>
      </c>
      <c r="U23">
        <v>1.2</v>
      </c>
      <c r="V23">
        <v>3.5000000000000003E-2</v>
      </c>
      <c r="W23">
        <v>502.29642611055749</v>
      </c>
      <c r="X23" t="str">
        <v>L2</v>
      </c>
      <c r="Z23">
        <f t="shared" si="3"/>
        <v>0</v>
      </c>
      <c r="AA23">
        <f t="shared" si="4"/>
        <v>0.128098440450124</v>
      </c>
      <c r="AB23">
        <f t="shared" si="5"/>
        <v>0</v>
      </c>
      <c r="AC23">
        <f t="shared" si="6"/>
        <v>0</v>
      </c>
      <c r="AD23">
        <f t="shared" si="7"/>
        <v>0</v>
      </c>
      <c r="AE23">
        <f t="shared" si="8"/>
        <v>0</v>
      </c>
      <c r="AH23">
        <f t="shared" si="0"/>
        <v>0.49951276259971461</v>
      </c>
      <c r="AI23">
        <f t="shared" si="9"/>
        <v>502.29642611055829</v>
      </c>
      <c r="AJ23">
        <f t="shared" si="10"/>
        <v>502.29642611055829</v>
      </c>
      <c r="AK23">
        <f t="shared" si="11"/>
        <v>502.29642611055829</v>
      </c>
      <c r="AM23">
        <f t="shared" si="12"/>
        <v>1230.6262439708678</v>
      </c>
      <c r="AN23">
        <f t="shared" si="13"/>
        <v>284.80207360468654</v>
      </c>
      <c r="AO23">
        <f t="shared" si="14"/>
        <v>35.060290542516967</v>
      </c>
      <c r="AP23">
        <f t="shared" si="1"/>
        <v>1230.6262439708678</v>
      </c>
      <c r="AQ23">
        <f t="shared" si="2"/>
        <v>284.80207360468654</v>
      </c>
      <c r="AR23">
        <f t="shared" si="15"/>
        <v>35.060290542516967</v>
      </c>
    </row>
    <row r="24" spans="2:44" x14ac:dyDescent="0.25">
      <c r="B24" t="s">
        <v>76</v>
      </c>
      <c r="C24" t="s">
        <v>92</v>
      </c>
      <c r="D24" t="s">
        <v>93</v>
      </c>
      <c r="E24" t="str">
        <f>C24</f>
        <v>Resize A</v>
      </c>
      <c r="F24" t="str">
        <f>D24</f>
        <v>Resize B</v>
      </c>
      <c r="I24">
        <v>21</v>
      </c>
      <c r="J24">
        <v>5</v>
      </c>
      <c r="K24">
        <v>12</v>
      </c>
      <c r="L24">
        <v>5</v>
      </c>
      <c r="M24">
        <v>12</v>
      </c>
      <c r="N24">
        <f t="shared" si="16"/>
        <v>5</v>
      </c>
      <c r="O24">
        <f t="shared" si="17"/>
        <v>1.7671458676442486E-2</v>
      </c>
      <c r="P24">
        <f t="shared" si="18"/>
        <v>4.2147607040560531E-2</v>
      </c>
      <c r="Q24">
        <v>21</v>
      </c>
      <c r="R24" t="str">
        <v>submerged</v>
      </c>
      <c r="S24" t="str">
        <v>leg</v>
      </c>
      <c r="T24">
        <v>15.70876194994373</v>
      </c>
      <c r="U24">
        <v>1.2</v>
      </c>
      <c r="V24">
        <v>3.5000000000000003E-2</v>
      </c>
      <c r="W24">
        <v>15796.3030714418</v>
      </c>
      <c r="X24" t="str">
        <v>L2</v>
      </c>
      <c r="Z24">
        <f t="shared" si="3"/>
        <v>12.10876194994373</v>
      </c>
      <c r="AA24">
        <f t="shared" si="4"/>
        <v>0.128098440450124</v>
      </c>
      <c r="AB24">
        <f t="shared" si="5"/>
        <v>12176.241144321315</v>
      </c>
      <c r="AC24">
        <f t="shared" si="6"/>
        <v>29831.790803587224</v>
      </c>
      <c r="AD24">
        <f t="shared" si="7"/>
        <v>6903.9287288301848</v>
      </c>
      <c r="AE24">
        <f t="shared" si="8"/>
        <v>849.90163187362782</v>
      </c>
      <c r="AH24">
        <f t="shared" si="0"/>
        <v>3.5999999999999996</v>
      </c>
      <c r="AI24">
        <f t="shared" si="9"/>
        <v>3620.0619271205042</v>
      </c>
      <c r="AJ24">
        <f t="shared" si="10"/>
        <v>4119.4573493167691</v>
      </c>
      <c r="AK24">
        <f t="shared" si="11"/>
        <v>4811.1533020867446</v>
      </c>
      <c r="AM24">
        <f t="shared" si="12"/>
        <v>10092.670505826085</v>
      </c>
      <c r="AN24">
        <f t="shared" si="13"/>
        <v>2335.7323170626078</v>
      </c>
      <c r="AO24">
        <f t="shared" si="14"/>
        <v>287.53812298231048</v>
      </c>
      <c r="AP24">
        <f t="shared" si="1"/>
        <v>11787.325590112525</v>
      </c>
      <c r="AQ24">
        <f t="shared" si="2"/>
        <v>2727.9239222831839</v>
      </c>
      <c r="AR24">
        <f t="shared" si="15"/>
        <v>335.81850048565479</v>
      </c>
    </row>
    <row r="25" spans="2:44" x14ac:dyDescent="0.25">
      <c r="C25">
        <f>AM112-AN112</f>
        <v>175.84981315065372</v>
      </c>
      <c r="D25">
        <f>AP112-AQ112</f>
        <v>196.54880148642829</v>
      </c>
      <c r="E25">
        <f>C25</f>
        <v>175.84981315065372</v>
      </c>
      <c r="F25">
        <f>D25</f>
        <v>196.54880148642829</v>
      </c>
      <c r="I25">
        <v>22</v>
      </c>
      <c r="J25">
        <v>5</v>
      </c>
      <c r="K25">
        <v>12</v>
      </c>
      <c r="L25">
        <v>5</v>
      </c>
      <c r="M25">
        <v>12</v>
      </c>
      <c r="N25">
        <f t="shared" si="16"/>
        <v>5</v>
      </c>
      <c r="O25">
        <f t="shared" si="17"/>
        <v>1.7671458676442486E-2</v>
      </c>
      <c r="P25">
        <f t="shared" si="18"/>
        <v>4.2147607040560531E-2</v>
      </c>
      <c r="Q25">
        <v>22</v>
      </c>
      <c r="R25" t="str">
        <v>splash</v>
      </c>
      <c r="S25" t="str">
        <v>leg</v>
      </c>
      <c r="T25">
        <v>13.314219841958449</v>
      </c>
      <c r="U25">
        <v>1.2</v>
      </c>
      <c r="V25">
        <v>3.5000000000000003E-2</v>
      </c>
      <c r="W25">
        <v>13388.416760885029</v>
      </c>
      <c r="X25" t="str">
        <v>L3</v>
      </c>
      <c r="Z25">
        <f t="shared" si="3"/>
        <v>9.7142198419584496</v>
      </c>
      <c r="AA25">
        <f t="shared" si="4"/>
        <v>7.4141586624719147E-2</v>
      </c>
      <c r="AB25">
        <f t="shared" si="5"/>
        <v>5653.7872244474047</v>
      </c>
      <c r="AC25">
        <f t="shared" si="6"/>
        <v>13851.778699896142</v>
      </c>
      <c r="AD25">
        <f t="shared" si="7"/>
        <v>3205.6973562616781</v>
      </c>
      <c r="AE25">
        <f t="shared" si="8"/>
        <v>394.63434826642884</v>
      </c>
      <c r="AH25">
        <f t="shared" si="0"/>
        <v>3.5999999999999996</v>
      </c>
      <c r="AI25">
        <f t="shared" si="9"/>
        <v>2095.2412380145629</v>
      </c>
      <c r="AJ25">
        <f t="shared" si="10"/>
        <v>2594.6366602108274</v>
      </c>
      <c r="AK25">
        <f t="shared" si="11"/>
        <v>3286.3326129808033</v>
      </c>
      <c r="AM25">
        <f t="shared" si="12"/>
        <v>6356.8598175165271</v>
      </c>
      <c r="AN25">
        <f t="shared" si="13"/>
        <v>1471.1589863395391</v>
      </c>
      <c r="AO25">
        <f t="shared" si="14"/>
        <v>181.10563888271577</v>
      </c>
      <c r="AP25">
        <f t="shared" si="1"/>
        <v>8051.5149018029688</v>
      </c>
      <c r="AQ25">
        <f t="shared" si="2"/>
        <v>1863.3505915601154</v>
      </c>
      <c r="AR25">
        <f t="shared" si="15"/>
        <v>229.38601638606008</v>
      </c>
    </row>
    <row r="26" spans="2:44" x14ac:dyDescent="0.25">
      <c r="I26">
        <v>23</v>
      </c>
      <c r="J26">
        <v>5</v>
      </c>
      <c r="K26">
        <v>12</v>
      </c>
      <c r="L26">
        <v>5</v>
      </c>
      <c r="M26">
        <v>12</v>
      </c>
      <c r="N26">
        <f t="shared" si="16"/>
        <v>5</v>
      </c>
      <c r="O26">
        <f t="shared" si="17"/>
        <v>1.7671458676442486E-2</v>
      </c>
      <c r="P26">
        <f t="shared" si="18"/>
        <v>4.2147607040560531E-2</v>
      </c>
      <c r="Q26">
        <v>23</v>
      </c>
      <c r="R26" t="str">
        <v>splash</v>
      </c>
      <c r="S26" t="str">
        <v>leg</v>
      </c>
      <c r="T26">
        <v>11.28507204230438</v>
      </c>
      <c r="U26">
        <v>1.2</v>
      </c>
      <c r="V26">
        <v>3.5000000000000003E-2</v>
      </c>
      <c r="W26">
        <v>11347.96101254391</v>
      </c>
      <c r="X26" t="str">
        <v>L3</v>
      </c>
      <c r="Z26">
        <f t="shared" si="3"/>
        <v>7.6850720423043803</v>
      </c>
      <c r="AA26">
        <f t="shared" si="4"/>
        <v>7.4141586624719147E-2</v>
      </c>
      <c r="AB26">
        <f t="shared" si="5"/>
        <v>4472.7999611524829</v>
      </c>
      <c r="AC26">
        <f t="shared" si="6"/>
        <v>10958.359904823585</v>
      </c>
      <c r="AD26">
        <f t="shared" si="7"/>
        <v>2536.0775779734577</v>
      </c>
      <c r="AE26">
        <f t="shared" si="8"/>
        <v>312.20143728844329</v>
      </c>
      <c r="AH26">
        <f t="shared" si="0"/>
        <v>3.5999999999999996</v>
      </c>
      <c r="AI26">
        <f t="shared" si="9"/>
        <v>2095.2412380145629</v>
      </c>
      <c r="AJ26">
        <f t="shared" si="10"/>
        <v>2594.6366602108274</v>
      </c>
      <c r="AK26">
        <f t="shared" si="11"/>
        <v>3286.3326129808033</v>
      </c>
      <c r="AM26">
        <f t="shared" si="12"/>
        <v>6356.8598175165271</v>
      </c>
      <c r="AN26">
        <f t="shared" si="13"/>
        <v>1471.1589863395391</v>
      </c>
      <c r="AO26">
        <f t="shared" si="14"/>
        <v>181.10563888271577</v>
      </c>
      <c r="AP26">
        <f t="shared" si="1"/>
        <v>8051.5149018029688</v>
      </c>
      <c r="AQ26">
        <f t="shared" si="2"/>
        <v>1863.3505915601154</v>
      </c>
      <c r="AR26">
        <f t="shared" si="15"/>
        <v>229.38601638606008</v>
      </c>
    </row>
    <row r="27" spans="2:44" x14ac:dyDescent="0.25">
      <c r="B27" t="s">
        <v>81</v>
      </c>
      <c r="I27">
        <v>24</v>
      </c>
      <c r="J27">
        <v>5</v>
      </c>
      <c r="K27">
        <v>12</v>
      </c>
      <c r="L27">
        <v>0</v>
      </c>
      <c r="M27">
        <v>0</v>
      </c>
      <c r="N27">
        <f t="shared" si="16"/>
        <v>2.5</v>
      </c>
      <c r="O27">
        <f t="shared" si="17"/>
        <v>8.8553642923059339E-3</v>
      </c>
      <c r="P27">
        <f t="shared" si="18"/>
        <v>0</v>
      </c>
      <c r="Q27">
        <v>24</v>
      </c>
      <c r="R27" t="str">
        <v>atmospheric</v>
      </c>
      <c r="S27" t="str">
        <v>leg</v>
      </c>
      <c r="T27">
        <v>0.49951276259971461</v>
      </c>
      <c r="U27">
        <v>1.2</v>
      </c>
      <c r="V27">
        <v>3.5000000000000003E-2</v>
      </c>
      <c r="W27">
        <v>502.29642611055749</v>
      </c>
      <c r="X27" t="str">
        <v>L2</v>
      </c>
      <c r="Z27">
        <f t="shared" si="3"/>
        <v>0</v>
      </c>
      <c r="AA27">
        <f t="shared" si="4"/>
        <v>0.128098440450124</v>
      </c>
      <c r="AB27">
        <f t="shared" si="5"/>
        <v>0</v>
      </c>
      <c r="AC27">
        <f t="shared" si="6"/>
        <v>0</v>
      </c>
      <c r="AD27">
        <f t="shared" si="7"/>
        <v>0</v>
      </c>
      <c r="AE27">
        <f t="shared" si="8"/>
        <v>0</v>
      </c>
      <c r="AH27">
        <f t="shared" si="0"/>
        <v>0.49951276259971461</v>
      </c>
      <c r="AI27">
        <f t="shared" si="9"/>
        <v>502.29642611055829</v>
      </c>
      <c r="AJ27">
        <f t="shared" si="10"/>
        <v>502.29642611055829</v>
      </c>
      <c r="AK27">
        <f t="shared" si="11"/>
        <v>502.29642611055829</v>
      </c>
      <c r="AM27">
        <f t="shared" si="12"/>
        <v>1230.6262439708678</v>
      </c>
      <c r="AN27">
        <f t="shared" si="13"/>
        <v>284.80207360468654</v>
      </c>
      <c r="AO27">
        <f t="shared" si="14"/>
        <v>35.060290542516967</v>
      </c>
      <c r="AP27">
        <f t="shared" si="1"/>
        <v>1230.6262439708678</v>
      </c>
      <c r="AQ27">
        <f t="shared" si="2"/>
        <v>284.80207360468654</v>
      </c>
      <c r="AR27">
        <f t="shared" si="15"/>
        <v>35.060290542516967</v>
      </c>
    </row>
    <row r="28" spans="2:44" x14ac:dyDescent="0.25">
      <c r="C28" t="s">
        <v>78</v>
      </c>
      <c r="E28" t="s">
        <v>79</v>
      </c>
      <c r="I28">
        <v>25</v>
      </c>
      <c r="J28">
        <v>5</v>
      </c>
      <c r="K28">
        <v>12</v>
      </c>
      <c r="L28">
        <v>5</v>
      </c>
      <c r="M28">
        <v>12</v>
      </c>
      <c r="N28">
        <f t="shared" si="16"/>
        <v>5</v>
      </c>
      <c r="O28">
        <f t="shared" si="17"/>
        <v>1.7671458676442486E-2</v>
      </c>
      <c r="P28">
        <f t="shared" si="18"/>
        <v>4.2147607040560531E-2</v>
      </c>
      <c r="Q28">
        <v>25</v>
      </c>
      <c r="R28" t="str">
        <v>submerged</v>
      </c>
      <c r="S28" t="str">
        <v>leg</v>
      </c>
      <c r="T28">
        <v>15.70876194994373</v>
      </c>
      <c r="U28">
        <v>1.2</v>
      </c>
      <c r="V28">
        <v>3.5000000000000003E-2</v>
      </c>
      <c r="W28">
        <v>15796.3030714418</v>
      </c>
      <c r="X28" t="str">
        <v>L2</v>
      </c>
      <c r="Z28">
        <f t="shared" si="3"/>
        <v>12.10876194994373</v>
      </c>
      <c r="AA28">
        <f t="shared" si="4"/>
        <v>0.128098440450124</v>
      </c>
      <c r="AB28">
        <f t="shared" si="5"/>
        <v>12176.241144321315</v>
      </c>
      <c r="AC28">
        <f t="shared" si="6"/>
        <v>29831.790803587224</v>
      </c>
      <c r="AD28">
        <f t="shared" si="7"/>
        <v>6903.9287288301848</v>
      </c>
      <c r="AE28">
        <f t="shared" si="8"/>
        <v>849.90163187362782</v>
      </c>
      <c r="AH28">
        <f t="shared" si="0"/>
        <v>3.5999999999999996</v>
      </c>
      <c r="AI28">
        <f t="shared" si="9"/>
        <v>3620.0619271205042</v>
      </c>
      <c r="AJ28">
        <f t="shared" si="10"/>
        <v>4119.4573493167691</v>
      </c>
      <c r="AK28">
        <f t="shared" si="11"/>
        <v>4811.1533020867446</v>
      </c>
      <c r="AM28">
        <f t="shared" si="12"/>
        <v>10092.670505826085</v>
      </c>
      <c r="AN28">
        <f t="shared" si="13"/>
        <v>2335.7323170626078</v>
      </c>
      <c r="AO28">
        <f t="shared" si="14"/>
        <v>287.53812298231048</v>
      </c>
      <c r="AP28">
        <f t="shared" si="1"/>
        <v>11787.325590112525</v>
      </c>
      <c r="AQ28">
        <f t="shared" si="2"/>
        <v>2727.9239222831839</v>
      </c>
      <c r="AR28">
        <f t="shared" si="15"/>
        <v>335.81850048565479</v>
      </c>
    </row>
    <row r="29" spans="2:44" x14ac:dyDescent="0.25">
      <c r="C29" t="s">
        <v>92</v>
      </c>
      <c r="D29" t="s">
        <v>93</v>
      </c>
      <c r="E29" t="s">
        <v>92</v>
      </c>
      <c r="F29" t="s">
        <v>93</v>
      </c>
      <c r="G29" s="1"/>
      <c r="H29" s="1"/>
      <c r="I29">
        <v>26</v>
      </c>
      <c r="J29">
        <v>5</v>
      </c>
      <c r="K29">
        <v>12</v>
      </c>
      <c r="L29">
        <v>5</v>
      </c>
      <c r="M29">
        <v>12</v>
      </c>
      <c r="N29">
        <f t="shared" si="16"/>
        <v>5</v>
      </c>
      <c r="O29">
        <f t="shared" si="17"/>
        <v>1.7671458676442486E-2</v>
      </c>
      <c r="P29">
        <f t="shared" si="18"/>
        <v>4.2147607040560531E-2</v>
      </c>
      <c r="Q29">
        <v>26</v>
      </c>
      <c r="R29" t="str">
        <v>splash</v>
      </c>
      <c r="S29" t="str">
        <v>leg</v>
      </c>
      <c r="T29">
        <v>13.314219841958449</v>
      </c>
      <c r="U29">
        <v>1.2</v>
      </c>
      <c r="V29">
        <v>3.5000000000000003E-2</v>
      </c>
      <c r="W29">
        <v>13388.416760885029</v>
      </c>
      <c r="X29" t="str">
        <v>L3</v>
      </c>
      <c r="Z29">
        <f t="shared" si="3"/>
        <v>9.7142198419584496</v>
      </c>
      <c r="AA29">
        <f t="shared" si="4"/>
        <v>7.4141586624719147E-2</v>
      </c>
      <c r="AB29">
        <f t="shared" si="5"/>
        <v>5653.7872244474047</v>
      </c>
      <c r="AC29">
        <f t="shared" si="6"/>
        <v>13851.778699896142</v>
      </c>
      <c r="AD29">
        <f t="shared" si="7"/>
        <v>3205.6973562616781</v>
      </c>
      <c r="AE29">
        <f t="shared" si="8"/>
        <v>394.63434826642884</v>
      </c>
      <c r="AH29">
        <f t="shared" si="0"/>
        <v>3.5999999999999996</v>
      </c>
      <c r="AI29">
        <f t="shared" si="9"/>
        <v>2095.2412380145629</v>
      </c>
      <c r="AJ29">
        <f t="shared" si="10"/>
        <v>2594.6366602108274</v>
      </c>
      <c r="AK29">
        <f t="shared" si="11"/>
        <v>3286.3326129808033</v>
      </c>
      <c r="AM29">
        <f t="shared" si="12"/>
        <v>6356.8598175165271</v>
      </c>
      <c r="AN29">
        <f t="shared" si="13"/>
        <v>1471.1589863395391</v>
      </c>
      <c r="AO29">
        <f t="shared" si="14"/>
        <v>181.10563888271577</v>
      </c>
      <c r="AP29">
        <f t="shared" si="1"/>
        <v>8051.5149018029688</v>
      </c>
      <c r="AQ29">
        <f t="shared" si="2"/>
        <v>1863.3505915601154</v>
      </c>
      <c r="AR29">
        <f t="shared" si="15"/>
        <v>229.38601638606008</v>
      </c>
    </row>
    <row r="30" spans="2:44" x14ac:dyDescent="0.25">
      <c r="B30" t="s">
        <v>75</v>
      </c>
      <c r="C30">
        <f>AC112-AE112+AM112-AO112</f>
        <v>968.83180805744519</v>
      </c>
      <c r="D30">
        <f>AC112-AE112+AP112-AR112</f>
        <v>994.99629665904399</v>
      </c>
      <c r="E30">
        <f>AD112-AE112+AN112-AO112</f>
        <v>202.37928533995546</v>
      </c>
      <c r="F30" s="1">
        <f>AD112-AE112+AQ112-AR112</f>
        <v>207.84478560577969</v>
      </c>
      <c r="G30" s="1" t="s">
        <v>77</v>
      </c>
      <c r="I30">
        <v>27</v>
      </c>
      <c r="J30">
        <v>5</v>
      </c>
      <c r="K30">
        <v>12</v>
      </c>
      <c r="L30">
        <v>5</v>
      </c>
      <c r="M30">
        <v>12</v>
      </c>
      <c r="N30">
        <f t="shared" si="16"/>
        <v>5</v>
      </c>
      <c r="O30">
        <f t="shared" si="17"/>
        <v>1.7671458676442486E-2</v>
      </c>
      <c r="P30">
        <f t="shared" si="18"/>
        <v>4.2147607040560531E-2</v>
      </c>
      <c r="Q30">
        <v>27</v>
      </c>
      <c r="R30" t="str">
        <v>splash</v>
      </c>
      <c r="S30" t="str">
        <v>leg</v>
      </c>
      <c r="T30">
        <v>11.28507204230438</v>
      </c>
      <c r="U30">
        <v>1.2</v>
      </c>
      <c r="V30">
        <v>3.5000000000000003E-2</v>
      </c>
      <c r="W30">
        <v>11347.96101254391</v>
      </c>
      <c r="X30" t="str">
        <v>L3</v>
      </c>
      <c r="Z30">
        <f t="shared" si="3"/>
        <v>7.6850720423043803</v>
      </c>
      <c r="AA30">
        <f t="shared" si="4"/>
        <v>7.4141586624719147E-2</v>
      </c>
      <c r="AB30">
        <f t="shared" si="5"/>
        <v>4472.7999611524829</v>
      </c>
      <c r="AC30">
        <f t="shared" si="6"/>
        <v>10958.359904823585</v>
      </c>
      <c r="AD30">
        <f t="shared" si="7"/>
        <v>2536.0775779734577</v>
      </c>
      <c r="AE30">
        <f t="shared" si="8"/>
        <v>312.20143728844329</v>
      </c>
      <c r="AH30">
        <f t="shared" si="0"/>
        <v>3.5999999999999996</v>
      </c>
      <c r="AI30">
        <f t="shared" si="9"/>
        <v>2095.2412380145629</v>
      </c>
      <c r="AJ30">
        <f t="shared" si="10"/>
        <v>2594.6366602108274</v>
      </c>
      <c r="AK30">
        <f t="shared" si="11"/>
        <v>3286.3326129808033</v>
      </c>
      <c r="AM30">
        <f t="shared" si="12"/>
        <v>6356.8598175165271</v>
      </c>
      <c r="AN30">
        <f t="shared" si="13"/>
        <v>1471.1589863395391</v>
      </c>
      <c r="AO30">
        <f t="shared" si="14"/>
        <v>181.10563888271577</v>
      </c>
      <c r="AP30">
        <f t="shared" si="1"/>
        <v>8051.5149018029688</v>
      </c>
      <c r="AQ30">
        <f t="shared" si="2"/>
        <v>1863.3505915601154</v>
      </c>
      <c r="AR30">
        <f t="shared" si="15"/>
        <v>229.38601638606008</v>
      </c>
    </row>
    <row r="31" spans="2:44" x14ac:dyDescent="0.25">
      <c r="B31" t="s">
        <v>38</v>
      </c>
      <c r="C31">
        <f>AC112-AE112+AM112-AO112</f>
        <v>968.83180805744519</v>
      </c>
      <c r="D31">
        <f>AC112-AE112+AP112-AR112</f>
        <v>994.99629665904399</v>
      </c>
      <c r="E31">
        <f>AD112-AE112+AN112-AO112</f>
        <v>202.37928533995546</v>
      </c>
      <c r="F31">
        <f>AD112-AE112+AQ112-AR112</f>
        <v>207.84478560577969</v>
      </c>
      <c r="I31">
        <v>28</v>
      </c>
      <c r="J31">
        <v>5</v>
      </c>
      <c r="K31">
        <v>12</v>
      </c>
      <c r="L31">
        <v>0</v>
      </c>
      <c r="M31">
        <v>0</v>
      </c>
      <c r="N31">
        <f t="shared" si="16"/>
        <v>2.5</v>
      </c>
      <c r="O31">
        <f t="shared" si="17"/>
        <v>8.8553642923059339E-3</v>
      </c>
      <c r="P31">
        <f t="shared" si="18"/>
        <v>0</v>
      </c>
      <c r="Q31">
        <v>28</v>
      </c>
      <c r="R31" t="str">
        <v>atmospheric</v>
      </c>
      <c r="S31" t="str">
        <v>leg</v>
      </c>
      <c r="T31">
        <v>0.49951276259971461</v>
      </c>
      <c r="U31">
        <v>1.2</v>
      </c>
      <c r="V31">
        <v>3.5000000000000003E-2</v>
      </c>
      <c r="W31">
        <v>502.29642611055749</v>
      </c>
      <c r="X31" t="str">
        <v>L2</v>
      </c>
      <c r="Z31">
        <f t="shared" si="3"/>
        <v>0</v>
      </c>
      <c r="AA31">
        <f t="shared" si="4"/>
        <v>0.128098440450124</v>
      </c>
      <c r="AB31">
        <f t="shared" si="5"/>
        <v>0</v>
      </c>
      <c r="AC31">
        <f t="shared" si="6"/>
        <v>0</v>
      </c>
      <c r="AD31">
        <f t="shared" si="7"/>
        <v>0</v>
      </c>
      <c r="AE31">
        <f t="shared" si="8"/>
        <v>0</v>
      </c>
      <c r="AH31">
        <f t="shared" si="0"/>
        <v>0.49951276259971461</v>
      </c>
      <c r="AI31">
        <f t="shared" si="9"/>
        <v>502.29642611055829</v>
      </c>
      <c r="AJ31">
        <f t="shared" si="10"/>
        <v>502.29642611055829</v>
      </c>
      <c r="AK31">
        <f t="shared" si="11"/>
        <v>502.29642611055829</v>
      </c>
      <c r="AM31">
        <f t="shared" si="12"/>
        <v>1230.6262439708678</v>
      </c>
      <c r="AN31">
        <f t="shared" si="13"/>
        <v>284.80207360468654</v>
      </c>
      <c r="AO31">
        <f t="shared" si="14"/>
        <v>35.060290542516967</v>
      </c>
      <c r="AP31">
        <f t="shared" si="1"/>
        <v>1230.6262439708678</v>
      </c>
      <c r="AQ31">
        <f t="shared" si="2"/>
        <v>284.80207360468654</v>
      </c>
      <c r="AR31">
        <f t="shared" si="15"/>
        <v>35.060290542516967</v>
      </c>
    </row>
    <row r="32" spans="2:44" x14ac:dyDescent="0.25">
      <c r="B32" t="s">
        <v>41</v>
      </c>
      <c r="C32">
        <f>AC112-AE112+AM112-AO112</f>
        <v>968.83180805744519</v>
      </c>
      <c r="D32">
        <f>AC112-AE112+AP112-AR112</f>
        <v>994.99629665904399</v>
      </c>
      <c r="E32">
        <f>AD112-AE112+AN112-AO112</f>
        <v>202.37928533995546</v>
      </c>
      <c r="F32">
        <f>AD112-AE112+AQ112-AR112</f>
        <v>207.84478560577969</v>
      </c>
      <c r="I32">
        <v>29</v>
      </c>
      <c r="J32">
        <v>5</v>
      </c>
      <c r="K32">
        <v>12</v>
      </c>
      <c r="L32">
        <v>5</v>
      </c>
      <c r="M32">
        <v>12</v>
      </c>
      <c r="N32">
        <f t="shared" si="16"/>
        <v>5</v>
      </c>
      <c r="O32">
        <f t="shared" si="17"/>
        <v>1.7671458676442486E-2</v>
      </c>
      <c r="P32">
        <f t="shared" si="18"/>
        <v>4.2147607040560531E-2</v>
      </c>
      <c r="Q32">
        <v>29</v>
      </c>
      <c r="R32" t="str">
        <v>submerged</v>
      </c>
      <c r="S32" t="str">
        <v>leg</v>
      </c>
      <c r="T32">
        <v>15.70876194994373</v>
      </c>
      <c r="U32">
        <v>1.2</v>
      </c>
      <c r="V32">
        <v>3.5000000000000003E-2</v>
      </c>
      <c r="W32">
        <v>15796.3030714418</v>
      </c>
      <c r="X32" t="str">
        <v>L2</v>
      </c>
      <c r="Z32">
        <f t="shared" si="3"/>
        <v>12.10876194994373</v>
      </c>
      <c r="AA32">
        <f t="shared" si="4"/>
        <v>0.128098440450124</v>
      </c>
      <c r="AB32">
        <f t="shared" si="5"/>
        <v>12176.241144321315</v>
      </c>
      <c r="AC32">
        <f t="shared" si="6"/>
        <v>29831.790803587224</v>
      </c>
      <c r="AD32">
        <f t="shared" si="7"/>
        <v>6903.9287288301848</v>
      </c>
      <c r="AE32">
        <f t="shared" si="8"/>
        <v>849.90163187362782</v>
      </c>
      <c r="AH32">
        <f t="shared" si="0"/>
        <v>3.5999999999999996</v>
      </c>
      <c r="AI32">
        <f t="shared" si="9"/>
        <v>3620.0619271205042</v>
      </c>
      <c r="AJ32">
        <f t="shared" si="10"/>
        <v>4119.4573493167691</v>
      </c>
      <c r="AK32">
        <f t="shared" si="11"/>
        <v>4811.1533020867446</v>
      </c>
      <c r="AM32">
        <f t="shared" si="12"/>
        <v>10092.670505826085</v>
      </c>
      <c r="AN32">
        <f t="shared" si="13"/>
        <v>2335.7323170626078</v>
      </c>
      <c r="AO32">
        <f t="shared" si="14"/>
        <v>287.53812298231048</v>
      </c>
      <c r="AP32">
        <f t="shared" si="1"/>
        <v>11787.325590112525</v>
      </c>
      <c r="AQ32">
        <f t="shared" si="2"/>
        <v>2727.9239222831839</v>
      </c>
      <c r="AR32">
        <f t="shared" si="15"/>
        <v>335.81850048565479</v>
      </c>
    </row>
    <row r="33" spans="2:44" x14ac:dyDescent="0.25">
      <c r="I33">
        <v>30</v>
      </c>
      <c r="J33">
        <v>5</v>
      </c>
      <c r="K33">
        <v>12</v>
      </c>
      <c r="L33">
        <v>5</v>
      </c>
      <c r="M33">
        <v>12</v>
      </c>
      <c r="N33">
        <f t="shared" si="16"/>
        <v>5</v>
      </c>
      <c r="O33">
        <f t="shared" si="17"/>
        <v>1.7671458676442486E-2</v>
      </c>
      <c r="P33">
        <f t="shared" si="18"/>
        <v>4.2147607040560531E-2</v>
      </c>
      <c r="Q33">
        <v>30</v>
      </c>
      <c r="R33" t="str">
        <v>splash</v>
      </c>
      <c r="S33" t="str">
        <v>leg</v>
      </c>
      <c r="T33">
        <v>13.314219841958449</v>
      </c>
      <c r="U33">
        <v>1.2</v>
      </c>
      <c r="V33">
        <v>3.5000000000000003E-2</v>
      </c>
      <c r="W33">
        <v>13388.416760885029</v>
      </c>
      <c r="X33" t="str">
        <v>L3</v>
      </c>
      <c r="Z33">
        <f t="shared" si="3"/>
        <v>9.7142198419584496</v>
      </c>
      <c r="AA33">
        <f t="shared" si="4"/>
        <v>7.4141586624719147E-2</v>
      </c>
      <c r="AB33">
        <f t="shared" si="5"/>
        <v>5653.7872244474047</v>
      </c>
      <c r="AC33">
        <f t="shared" si="6"/>
        <v>13851.778699896142</v>
      </c>
      <c r="AD33">
        <f t="shared" si="7"/>
        <v>3205.6973562616781</v>
      </c>
      <c r="AE33">
        <f t="shared" si="8"/>
        <v>394.63434826642884</v>
      </c>
      <c r="AH33">
        <f t="shared" si="0"/>
        <v>3.5999999999999996</v>
      </c>
      <c r="AI33">
        <f t="shared" si="9"/>
        <v>2095.2412380145629</v>
      </c>
      <c r="AJ33">
        <f t="shared" si="10"/>
        <v>2594.6366602108274</v>
      </c>
      <c r="AK33">
        <f t="shared" si="11"/>
        <v>3286.3326129808033</v>
      </c>
      <c r="AM33">
        <f t="shared" si="12"/>
        <v>6356.8598175165271</v>
      </c>
      <c r="AN33">
        <f t="shared" si="13"/>
        <v>1471.1589863395391</v>
      </c>
      <c r="AO33">
        <f t="shared" si="14"/>
        <v>181.10563888271577</v>
      </c>
      <c r="AP33">
        <f t="shared" si="1"/>
        <v>8051.5149018029688</v>
      </c>
      <c r="AQ33">
        <f t="shared" si="2"/>
        <v>1863.3505915601154</v>
      </c>
      <c r="AR33">
        <f t="shared" si="15"/>
        <v>229.38601638606008</v>
      </c>
    </row>
    <row r="34" spans="2:44" x14ac:dyDescent="0.25">
      <c r="I34">
        <v>31</v>
      </c>
      <c r="J34">
        <v>5</v>
      </c>
      <c r="K34">
        <v>12</v>
      </c>
      <c r="L34">
        <v>5</v>
      </c>
      <c r="M34">
        <v>12</v>
      </c>
      <c r="N34">
        <f t="shared" si="16"/>
        <v>5</v>
      </c>
      <c r="O34">
        <f t="shared" si="17"/>
        <v>1.7671458676442486E-2</v>
      </c>
      <c r="P34">
        <f t="shared" si="18"/>
        <v>4.2147607040560531E-2</v>
      </c>
      <c r="Q34">
        <v>31</v>
      </c>
      <c r="R34" t="str">
        <v>splash</v>
      </c>
      <c r="S34" t="str">
        <v>leg</v>
      </c>
      <c r="T34">
        <v>11.28507204230438</v>
      </c>
      <c r="U34">
        <v>1.2</v>
      </c>
      <c r="V34">
        <v>3.5000000000000003E-2</v>
      </c>
      <c r="W34">
        <v>11347.96101254391</v>
      </c>
      <c r="X34" t="str">
        <v>L3</v>
      </c>
      <c r="Z34">
        <f t="shared" si="3"/>
        <v>7.6850720423043803</v>
      </c>
      <c r="AA34">
        <f t="shared" si="4"/>
        <v>7.4141586624719147E-2</v>
      </c>
      <c r="AB34">
        <f t="shared" si="5"/>
        <v>4472.7999611524829</v>
      </c>
      <c r="AC34">
        <f t="shared" si="6"/>
        <v>10958.359904823585</v>
      </c>
      <c r="AD34">
        <f t="shared" si="7"/>
        <v>2536.0775779734577</v>
      </c>
      <c r="AE34">
        <f t="shared" si="8"/>
        <v>312.20143728844329</v>
      </c>
      <c r="AH34">
        <f t="shared" si="0"/>
        <v>3.5999999999999996</v>
      </c>
      <c r="AI34">
        <f t="shared" si="9"/>
        <v>2095.2412380145629</v>
      </c>
      <c r="AJ34">
        <f t="shared" si="10"/>
        <v>2594.6366602108274</v>
      </c>
      <c r="AK34">
        <f t="shared" si="11"/>
        <v>3286.3326129808033</v>
      </c>
      <c r="AM34">
        <f t="shared" si="12"/>
        <v>6356.8598175165271</v>
      </c>
      <c r="AN34">
        <f t="shared" si="13"/>
        <v>1471.1589863395391</v>
      </c>
      <c r="AO34">
        <f t="shared" si="14"/>
        <v>181.10563888271577</v>
      </c>
      <c r="AP34">
        <f t="shared" si="1"/>
        <v>8051.5149018029688</v>
      </c>
      <c r="AQ34">
        <f t="shared" si="2"/>
        <v>1863.3505915601154</v>
      </c>
      <c r="AR34">
        <f t="shared" si="15"/>
        <v>229.38601638606008</v>
      </c>
    </row>
    <row r="35" spans="2:44" x14ac:dyDescent="0.25">
      <c r="B35" t="s">
        <v>96</v>
      </c>
      <c r="C35">
        <f>SUMIF(X4:X107,"L2",AB4:AB107)/1000</f>
        <v>241.44598159409554</v>
      </c>
      <c r="I35">
        <v>32</v>
      </c>
      <c r="J35">
        <v>5</v>
      </c>
      <c r="K35">
        <v>12</v>
      </c>
      <c r="L35">
        <v>0</v>
      </c>
      <c r="M35">
        <v>0</v>
      </c>
      <c r="N35">
        <f t="shared" si="16"/>
        <v>2.5</v>
      </c>
      <c r="O35">
        <f t="shared" si="17"/>
        <v>8.8553642923059339E-3</v>
      </c>
      <c r="P35">
        <f t="shared" si="18"/>
        <v>0</v>
      </c>
      <c r="Q35">
        <v>32</v>
      </c>
      <c r="R35" t="str">
        <v>atmospheric</v>
      </c>
      <c r="S35" t="str">
        <v>leg</v>
      </c>
      <c r="T35">
        <v>0.49951276259971461</v>
      </c>
      <c r="U35">
        <v>1.2</v>
      </c>
      <c r="V35">
        <v>3.5000000000000003E-2</v>
      </c>
      <c r="W35">
        <v>502.29642611055749</v>
      </c>
      <c r="X35" t="str">
        <v>L2</v>
      </c>
      <c r="Z35">
        <f t="shared" si="3"/>
        <v>0</v>
      </c>
      <c r="AA35">
        <f t="shared" si="4"/>
        <v>0.128098440450124</v>
      </c>
      <c r="AB35">
        <f t="shared" si="5"/>
        <v>0</v>
      </c>
      <c r="AC35">
        <f t="shared" si="6"/>
        <v>0</v>
      </c>
      <c r="AD35">
        <f t="shared" si="7"/>
        <v>0</v>
      </c>
      <c r="AE35">
        <f t="shared" si="8"/>
        <v>0</v>
      </c>
      <c r="AH35">
        <f t="shared" si="0"/>
        <v>0.49951276259971461</v>
      </c>
      <c r="AI35">
        <f t="shared" si="9"/>
        <v>502.29642611055829</v>
      </c>
      <c r="AJ35">
        <f t="shared" si="10"/>
        <v>502.29642611055829</v>
      </c>
      <c r="AK35">
        <f t="shared" si="11"/>
        <v>502.29642611055829</v>
      </c>
      <c r="AM35">
        <f t="shared" si="12"/>
        <v>1230.6262439708678</v>
      </c>
      <c r="AN35">
        <f t="shared" si="13"/>
        <v>284.80207360468654</v>
      </c>
      <c r="AO35">
        <f t="shared" si="14"/>
        <v>35.060290542516967</v>
      </c>
      <c r="AP35">
        <f t="shared" si="1"/>
        <v>1230.6262439708678</v>
      </c>
      <c r="AQ35">
        <f t="shared" si="2"/>
        <v>284.80207360468654</v>
      </c>
      <c r="AR35">
        <f t="shared" si="15"/>
        <v>35.060290542516967</v>
      </c>
    </row>
    <row r="36" spans="2:44" x14ac:dyDescent="0.25">
      <c r="B36" t="s">
        <v>97</v>
      </c>
      <c r="C36">
        <f>SUMIF(X4:X107,"L3",AB4:AB107)/1000</f>
        <v>72.203890719678739</v>
      </c>
      <c r="I36">
        <v>33</v>
      </c>
      <c r="J36">
        <v>5</v>
      </c>
      <c r="K36">
        <v>12</v>
      </c>
      <c r="L36">
        <v>5</v>
      </c>
      <c r="M36">
        <v>12</v>
      </c>
      <c r="N36">
        <f t="shared" si="16"/>
        <v>5</v>
      </c>
      <c r="O36">
        <f t="shared" si="17"/>
        <v>1.1859512267301475E-2</v>
      </c>
      <c r="P36">
        <f t="shared" si="18"/>
        <v>2.8198935658622026E-2</v>
      </c>
      <c r="Q36">
        <v>33</v>
      </c>
      <c r="R36" t="str">
        <v>submerged</v>
      </c>
      <c r="S36" t="str">
        <v>brace</v>
      </c>
      <c r="T36">
        <v>11.933999999999999</v>
      </c>
      <c r="U36">
        <v>0.8</v>
      </c>
      <c r="V36">
        <v>0.02</v>
      </c>
      <c r="W36">
        <v>4591.2417535036047</v>
      </c>
      <c r="X36" t="str">
        <v>L2</v>
      </c>
      <c r="Y36" s="2">
        <v>0</v>
      </c>
      <c r="Z36">
        <f t="shared" si="3"/>
        <v>0</v>
      </c>
      <c r="AA36">
        <f t="shared" si="4"/>
        <v>4.9008845396000866E-2</v>
      </c>
      <c r="AB36">
        <f t="shared" si="5"/>
        <v>0</v>
      </c>
      <c r="AC36">
        <f t="shared" si="6"/>
        <v>0</v>
      </c>
      <c r="AD36">
        <f t="shared" si="7"/>
        <v>0</v>
      </c>
      <c r="AE36">
        <f t="shared" si="8"/>
        <v>0</v>
      </c>
      <c r="AH36">
        <f t="shared" ref="AH36:AH67" si="19">IF(Z36=0,T36,T36-Z36)</f>
        <v>11.933999999999999</v>
      </c>
      <c r="AI36">
        <f>IF(S36="leg",AH36*AA36*$D$7,0)</f>
        <v>0</v>
      </c>
      <c r="AJ36">
        <f t="shared" si="10"/>
        <v>0</v>
      </c>
      <c r="AK36">
        <f t="shared" si="11"/>
        <v>0</v>
      </c>
      <c r="AM36">
        <f t="shared" si="12"/>
        <v>0</v>
      </c>
      <c r="AN36">
        <f t="shared" si="13"/>
        <v>0</v>
      </c>
      <c r="AO36">
        <f t="shared" si="14"/>
        <v>0</v>
      </c>
      <c r="AP36">
        <f t="shared" ref="AP36:AP67" si="20">AK36*$D$13</f>
        <v>0</v>
      </c>
      <c r="AQ36">
        <f t="shared" ref="AQ36:AQ67" si="21">AK36*$D$14</f>
        <v>0</v>
      </c>
      <c r="AR36">
        <f t="shared" si="15"/>
        <v>0</v>
      </c>
    </row>
    <row r="37" spans="2:44" x14ac:dyDescent="0.25">
      <c r="B37" t="s">
        <v>98</v>
      </c>
      <c r="C37">
        <f>AJ112</f>
        <v>93.388111073103445</v>
      </c>
      <c r="D37">
        <f>AK112</f>
        <v>104.38066993437508</v>
      </c>
      <c r="I37">
        <v>34</v>
      </c>
      <c r="J37">
        <v>5</v>
      </c>
      <c r="K37">
        <v>12</v>
      </c>
      <c r="L37">
        <v>5</v>
      </c>
      <c r="M37">
        <v>12</v>
      </c>
      <c r="N37">
        <f t="shared" si="16"/>
        <v>5</v>
      </c>
      <c r="O37">
        <f t="shared" si="17"/>
        <v>1.1859512267301475E-2</v>
      </c>
      <c r="P37">
        <f t="shared" si="18"/>
        <v>2.8198935658622026E-2</v>
      </c>
      <c r="Q37">
        <v>34</v>
      </c>
      <c r="R37" t="str">
        <v>submerged</v>
      </c>
      <c r="S37" t="str">
        <v>brace</v>
      </c>
      <c r="T37">
        <v>11.933999999999999</v>
      </c>
      <c r="U37">
        <v>0.8</v>
      </c>
      <c r="V37">
        <v>0.02</v>
      </c>
      <c r="W37">
        <v>4591.2417535036047</v>
      </c>
      <c r="X37" t="str">
        <v>L2</v>
      </c>
      <c r="Y37" s="2">
        <v>0</v>
      </c>
      <c r="Z37">
        <f t="shared" si="3"/>
        <v>0</v>
      </c>
      <c r="AA37">
        <f t="shared" si="4"/>
        <v>4.9008845396000866E-2</v>
      </c>
      <c r="AB37">
        <f t="shared" si="5"/>
        <v>0</v>
      </c>
      <c r="AC37">
        <f t="shared" si="6"/>
        <v>0</v>
      </c>
      <c r="AD37">
        <f t="shared" si="7"/>
        <v>0</v>
      </c>
      <c r="AE37">
        <f t="shared" si="8"/>
        <v>0</v>
      </c>
      <c r="AH37">
        <f t="shared" si="19"/>
        <v>11.933999999999999</v>
      </c>
      <c r="AI37">
        <f t="shared" si="9"/>
        <v>0</v>
      </c>
      <c r="AJ37">
        <f t="shared" si="10"/>
        <v>0</v>
      </c>
      <c r="AK37">
        <f t="shared" si="11"/>
        <v>0</v>
      </c>
      <c r="AM37">
        <f t="shared" si="12"/>
        <v>0</v>
      </c>
      <c r="AN37">
        <f t="shared" si="13"/>
        <v>0</v>
      </c>
      <c r="AO37">
        <f t="shared" si="14"/>
        <v>0</v>
      </c>
      <c r="AP37">
        <f t="shared" si="20"/>
        <v>0</v>
      </c>
      <c r="AQ37">
        <f t="shared" si="21"/>
        <v>0</v>
      </c>
      <c r="AR37">
        <f t="shared" si="15"/>
        <v>0</v>
      </c>
    </row>
    <row r="38" spans="2:44" x14ac:dyDescent="0.25">
      <c r="I38">
        <v>35</v>
      </c>
      <c r="J38">
        <v>5</v>
      </c>
      <c r="K38">
        <v>12</v>
      </c>
      <c r="L38">
        <v>5</v>
      </c>
      <c r="M38">
        <v>12</v>
      </c>
      <c r="N38">
        <f t="shared" si="16"/>
        <v>5</v>
      </c>
      <c r="O38">
        <f t="shared" si="17"/>
        <v>1.1859512267301475E-2</v>
      </c>
      <c r="P38">
        <f t="shared" si="18"/>
        <v>2.8198935658622026E-2</v>
      </c>
      <c r="Q38">
        <v>35</v>
      </c>
      <c r="R38" t="str">
        <v>submerged</v>
      </c>
      <c r="S38" t="str">
        <v>brace</v>
      </c>
      <c r="T38">
        <v>11.933999999999999</v>
      </c>
      <c r="U38">
        <v>0.8</v>
      </c>
      <c r="V38">
        <v>0.02</v>
      </c>
      <c r="W38">
        <v>4591.2417535036047</v>
      </c>
      <c r="X38" t="str">
        <v>L2</v>
      </c>
      <c r="Y38" s="2">
        <v>0</v>
      </c>
      <c r="Z38">
        <f t="shared" si="3"/>
        <v>0</v>
      </c>
      <c r="AA38">
        <f t="shared" si="4"/>
        <v>4.9008845396000866E-2</v>
      </c>
      <c r="AB38">
        <f t="shared" si="5"/>
        <v>0</v>
      </c>
      <c r="AC38">
        <f t="shared" si="6"/>
        <v>0</v>
      </c>
      <c r="AD38">
        <f t="shared" si="7"/>
        <v>0</v>
      </c>
      <c r="AE38">
        <f t="shared" si="8"/>
        <v>0</v>
      </c>
      <c r="AH38">
        <f t="shared" si="19"/>
        <v>11.933999999999999</v>
      </c>
      <c r="AI38">
        <f t="shared" si="9"/>
        <v>0</v>
      </c>
      <c r="AJ38">
        <f t="shared" si="10"/>
        <v>0</v>
      </c>
      <c r="AK38">
        <f t="shared" si="11"/>
        <v>0</v>
      </c>
      <c r="AM38">
        <f t="shared" si="12"/>
        <v>0</v>
      </c>
      <c r="AN38">
        <f t="shared" si="13"/>
        <v>0</v>
      </c>
      <c r="AO38">
        <f t="shared" si="14"/>
        <v>0</v>
      </c>
      <c r="AP38">
        <f t="shared" si="20"/>
        <v>0</v>
      </c>
      <c r="AQ38">
        <f t="shared" si="21"/>
        <v>0</v>
      </c>
      <c r="AR38">
        <f t="shared" si="15"/>
        <v>0</v>
      </c>
    </row>
    <row r="39" spans="2:44" x14ac:dyDescent="0.25">
      <c r="I39">
        <v>36</v>
      </c>
      <c r="J39">
        <v>5</v>
      </c>
      <c r="K39">
        <v>12</v>
      </c>
      <c r="L39">
        <v>5</v>
      </c>
      <c r="M39">
        <v>12</v>
      </c>
      <c r="N39">
        <f t="shared" si="16"/>
        <v>5</v>
      </c>
      <c r="O39">
        <f t="shared" si="17"/>
        <v>1.1859512267301475E-2</v>
      </c>
      <c r="P39">
        <f t="shared" si="18"/>
        <v>2.8198935658622026E-2</v>
      </c>
      <c r="Q39">
        <v>36</v>
      </c>
      <c r="R39" t="str">
        <v>submerged</v>
      </c>
      <c r="S39" t="str">
        <v>brace</v>
      </c>
      <c r="T39">
        <v>11.933999999999999</v>
      </c>
      <c r="U39">
        <v>0.8</v>
      </c>
      <c r="V39">
        <v>0.02</v>
      </c>
      <c r="W39">
        <v>4591.2417535036047</v>
      </c>
      <c r="X39" t="str">
        <v>L2</v>
      </c>
      <c r="Y39" s="2">
        <v>0</v>
      </c>
      <c r="Z39">
        <f t="shared" si="3"/>
        <v>0</v>
      </c>
      <c r="AA39">
        <f t="shared" si="4"/>
        <v>4.9008845396000866E-2</v>
      </c>
      <c r="AB39">
        <f t="shared" si="5"/>
        <v>0</v>
      </c>
      <c r="AC39">
        <f t="shared" si="6"/>
        <v>0</v>
      </c>
      <c r="AD39">
        <f t="shared" si="7"/>
        <v>0</v>
      </c>
      <c r="AE39">
        <f t="shared" si="8"/>
        <v>0</v>
      </c>
      <c r="AH39">
        <f t="shared" si="19"/>
        <v>11.933999999999999</v>
      </c>
      <c r="AI39">
        <f t="shared" si="9"/>
        <v>0</v>
      </c>
      <c r="AJ39">
        <f t="shared" si="10"/>
        <v>0</v>
      </c>
      <c r="AK39">
        <f t="shared" si="11"/>
        <v>0</v>
      </c>
      <c r="AM39">
        <f t="shared" si="12"/>
        <v>0</v>
      </c>
      <c r="AN39">
        <f t="shared" si="13"/>
        <v>0</v>
      </c>
      <c r="AO39">
        <f t="shared" si="14"/>
        <v>0</v>
      </c>
      <c r="AP39">
        <f t="shared" si="20"/>
        <v>0</v>
      </c>
      <c r="AQ39">
        <f t="shared" si="21"/>
        <v>0</v>
      </c>
      <c r="AR39">
        <f t="shared" si="15"/>
        <v>0</v>
      </c>
    </row>
    <row r="40" spans="2:44" x14ac:dyDescent="0.25">
      <c r="I40">
        <v>37</v>
      </c>
      <c r="J40">
        <v>5</v>
      </c>
      <c r="K40">
        <v>12</v>
      </c>
      <c r="L40">
        <v>10</v>
      </c>
      <c r="M40">
        <v>12</v>
      </c>
      <c r="N40">
        <f t="shared" si="16"/>
        <v>7.5</v>
      </c>
      <c r="O40">
        <f t="shared" si="17"/>
        <v>1.7730363538697391E-2</v>
      </c>
      <c r="P40">
        <f t="shared" si="18"/>
        <v>2.8198935658622026E-2</v>
      </c>
      <c r="Q40">
        <v>37</v>
      </c>
      <c r="R40" t="str">
        <v>submerged</v>
      </c>
      <c r="S40" t="str">
        <v>brace</v>
      </c>
      <c r="T40">
        <v>11.424272318182901</v>
      </c>
      <c r="U40">
        <v>0.8</v>
      </c>
      <c r="V40">
        <v>0.02</v>
      </c>
      <c r="W40">
        <v>4395.1396070585524</v>
      </c>
      <c r="X40" t="str">
        <v>L2</v>
      </c>
      <c r="Z40">
        <f t="shared" si="3"/>
        <v>9.0242723181829003</v>
      </c>
      <c r="AA40">
        <f t="shared" si="4"/>
        <v>4.9008845396000866E-2</v>
      </c>
      <c r="AB40">
        <f t="shared" si="5"/>
        <v>3471.8129597979032</v>
      </c>
      <c r="AC40">
        <f t="shared" si="6"/>
        <v>8505.9417515048626</v>
      </c>
      <c r="AD40">
        <f t="shared" si="7"/>
        <v>1968.5179482054109</v>
      </c>
      <c r="AE40">
        <f t="shared" si="8"/>
        <v>242.33254459389366</v>
      </c>
      <c r="AH40">
        <f t="shared" si="19"/>
        <v>2.4000000000000004</v>
      </c>
      <c r="AI40">
        <f t="shared" si="9"/>
        <v>0</v>
      </c>
      <c r="AJ40">
        <f t="shared" si="10"/>
        <v>0</v>
      </c>
      <c r="AK40">
        <f t="shared" si="11"/>
        <v>0</v>
      </c>
      <c r="AM40">
        <f t="shared" si="12"/>
        <v>0</v>
      </c>
      <c r="AN40">
        <f t="shared" si="13"/>
        <v>0</v>
      </c>
      <c r="AO40">
        <f t="shared" si="14"/>
        <v>0</v>
      </c>
      <c r="AP40">
        <f t="shared" si="20"/>
        <v>0</v>
      </c>
      <c r="AQ40">
        <f t="shared" si="21"/>
        <v>0</v>
      </c>
      <c r="AR40">
        <f t="shared" si="15"/>
        <v>0</v>
      </c>
    </row>
    <row r="41" spans="2:44" x14ac:dyDescent="0.25">
      <c r="I41">
        <v>38</v>
      </c>
      <c r="J41">
        <v>10</v>
      </c>
      <c r="K41">
        <v>12</v>
      </c>
      <c r="L41">
        <v>5</v>
      </c>
      <c r="M41">
        <v>12</v>
      </c>
      <c r="N41">
        <f t="shared" si="16"/>
        <v>7.5</v>
      </c>
      <c r="O41">
        <f t="shared" si="17"/>
        <v>1.7730363538697391E-2</v>
      </c>
      <c r="P41">
        <f t="shared" si="18"/>
        <v>2.8198935658622026E-2</v>
      </c>
      <c r="Q41">
        <v>38</v>
      </c>
      <c r="R41" t="str">
        <v>submerged</v>
      </c>
      <c r="S41" t="str">
        <v>brace</v>
      </c>
      <c r="T41">
        <v>10.25881762192895</v>
      </c>
      <c r="U41">
        <v>0.8</v>
      </c>
      <c r="V41">
        <v>0.02</v>
      </c>
      <c r="W41">
        <v>3946.766533214241</v>
      </c>
      <c r="X41" t="str">
        <v>L2</v>
      </c>
      <c r="Z41">
        <f t="shared" si="3"/>
        <v>7.8588176219289494</v>
      </c>
      <c r="AA41">
        <f t="shared" si="4"/>
        <v>4.9008845396000866E-2</v>
      </c>
      <c r="AB41">
        <f t="shared" si="5"/>
        <v>3023.4398859535922</v>
      </c>
      <c r="AC41">
        <f t="shared" si="6"/>
        <v>7407.4277205863018</v>
      </c>
      <c r="AD41">
        <f t="shared" si="7"/>
        <v>1714.2904153356867</v>
      </c>
      <c r="AE41">
        <f t="shared" si="8"/>
        <v>211.03610403956074</v>
      </c>
      <c r="AH41">
        <f t="shared" si="19"/>
        <v>2.4000000000000004</v>
      </c>
      <c r="AI41">
        <f t="shared" si="9"/>
        <v>0</v>
      </c>
      <c r="AJ41">
        <f t="shared" si="10"/>
        <v>0</v>
      </c>
      <c r="AK41">
        <f t="shared" si="11"/>
        <v>0</v>
      </c>
      <c r="AM41">
        <f t="shared" si="12"/>
        <v>0</v>
      </c>
      <c r="AN41">
        <f t="shared" si="13"/>
        <v>0</v>
      </c>
      <c r="AO41">
        <f t="shared" si="14"/>
        <v>0</v>
      </c>
      <c r="AP41">
        <f t="shared" si="20"/>
        <v>0</v>
      </c>
      <c r="AQ41">
        <f t="shared" si="21"/>
        <v>0</v>
      </c>
      <c r="AR41">
        <f t="shared" si="15"/>
        <v>0</v>
      </c>
    </row>
    <row r="42" spans="2:44" x14ac:dyDescent="0.25">
      <c r="I42">
        <v>39</v>
      </c>
      <c r="J42">
        <v>5</v>
      </c>
      <c r="K42">
        <v>12</v>
      </c>
      <c r="L42">
        <v>10</v>
      </c>
      <c r="M42">
        <v>12</v>
      </c>
      <c r="N42">
        <f t="shared" si="16"/>
        <v>7.5</v>
      </c>
      <c r="O42">
        <f t="shared" si="17"/>
        <v>1.7730363538697391E-2</v>
      </c>
      <c r="P42">
        <f t="shared" si="18"/>
        <v>2.8198935658622026E-2</v>
      </c>
      <c r="Q42">
        <v>39</v>
      </c>
      <c r="R42" t="str">
        <v>submerged</v>
      </c>
      <c r="S42" t="str">
        <v>brace</v>
      </c>
      <c r="T42">
        <v>11.424272318182901</v>
      </c>
      <c r="U42">
        <v>0.8</v>
      </c>
      <c r="V42">
        <v>0.02</v>
      </c>
      <c r="W42">
        <v>4395.1396070585524</v>
      </c>
      <c r="X42" t="str">
        <v>L2</v>
      </c>
      <c r="Z42">
        <f t="shared" si="3"/>
        <v>9.0242723181829003</v>
      </c>
      <c r="AA42">
        <f t="shared" si="4"/>
        <v>4.9008845396000866E-2</v>
      </c>
      <c r="AB42">
        <f t="shared" si="5"/>
        <v>3471.8129597979032</v>
      </c>
      <c r="AC42">
        <f t="shared" si="6"/>
        <v>8505.9417515048626</v>
      </c>
      <c r="AD42">
        <f t="shared" si="7"/>
        <v>1968.5179482054109</v>
      </c>
      <c r="AE42">
        <f t="shared" si="8"/>
        <v>242.33254459389366</v>
      </c>
      <c r="AH42">
        <f t="shared" si="19"/>
        <v>2.4000000000000004</v>
      </c>
      <c r="AI42">
        <f t="shared" si="9"/>
        <v>0</v>
      </c>
      <c r="AJ42">
        <f t="shared" si="10"/>
        <v>0</v>
      </c>
      <c r="AK42">
        <f t="shared" si="11"/>
        <v>0</v>
      </c>
      <c r="AM42">
        <f t="shared" si="12"/>
        <v>0</v>
      </c>
      <c r="AN42">
        <f t="shared" si="13"/>
        <v>0</v>
      </c>
      <c r="AO42">
        <f t="shared" si="14"/>
        <v>0</v>
      </c>
      <c r="AP42">
        <f t="shared" si="20"/>
        <v>0</v>
      </c>
      <c r="AQ42">
        <f t="shared" si="21"/>
        <v>0</v>
      </c>
      <c r="AR42">
        <f t="shared" si="15"/>
        <v>0</v>
      </c>
    </row>
    <row r="43" spans="2:44" x14ac:dyDescent="0.25">
      <c r="I43">
        <v>40</v>
      </c>
      <c r="J43">
        <v>10</v>
      </c>
      <c r="K43">
        <v>12</v>
      </c>
      <c r="L43">
        <v>5</v>
      </c>
      <c r="M43">
        <v>12</v>
      </c>
      <c r="N43">
        <f t="shared" si="16"/>
        <v>7.5</v>
      </c>
      <c r="O43">
        <f t="shared" si="17"/>
        <v>1.7730363538697391E-2</v>
      </c>
      <c r="P43">
        <f t="shared" si="18"/>
        <v>2.8198935658622026E-2</v>
      </c>
      <c r="Q43">
        <v>40</v>
      </c>
      <c r="R43" t="str">
        <v>submerged</v>
      </c>
      <c r="S43" t="str">
        <v>brace</v>
      </c>
      <c r="T43">
        <v>10.25881762192895</v>
      </c>
      <c r="U43">
        <v>0.8</v>
      </c>
      <c r="V43">
        <v>0.02</v>
      </c>
      <c r="W43">
        <v>3946.766533214241</v>
      </c>
      <c r="X43" t="str">
        <v>L2</v>
      </c>
      <c r="Z43">
        <f t="shared" si="3"/>
        <v>7.8588176219289494</v>
      </c>
      <c r="AA43">
        <f t="shared" si="4"/>
        <v>4.9008845396000866E-2</v>
      </c>
      <c r="AB43">
        <f t="shared" si="5"/>
        <v>3023.4398859535922</v>
      </c>
      <c r="AC43">
        <f t="shared" si="6"/>
        <v>7407.4277205863018</v>
      </c>
      <c r="AD43">
        <f t="shared" si="7"/>
        <v>1714.2904153356867</v>
      </c>
      <c r="AE43">
        <f t="shared" si="8"/>
        <v>211.03610403956074</v>
      </c>
      <c r="AH43">
        <f t="shared" si="19"/>
        <v>2.4000000000000004</v>
      </c>
      <c r="AI43">
        <f t="shared" si="9"/>
        <v>0</v>
      </c>
      <c r="AJ43">
        <f t="shared" si="10"/>
        <v>0</v>
      </c>
      <c r="AK43">
        <f t="shared" si="11"/>
        <v>0</v>
      </c>
      <c r="AM43">
        <f t="shared" si="12"/>
        <v>0</v>
      </c>
      <c r="AN43">
        <f t="shared" si="13"/>
        <v>0</v>
      </c>
      <c r="AO43">
        <f t="shared" si="14"/>
        <v>0</v>
      </c>
      <c r="AP43">
        <f t="shared" si="20"/>
        <v>0</v>
      </c>
      <c r="AQ43">
        <f t="shared" si="21"/>
        <v>0</v>
      </c>
      <c r="AR43">
        <f t="shared" si="15"/>
        <v>0</v>
      </c>
    </row>
    <row r="44" spans="2:44" x14ac:dyDescent="0.25">
      <c r="I44">
        <v>41</v>
      </c>
      <c r="J44">
        <v>5</v>
      </c>
      <c r="K44">
        <v>12</v>
      </c>
      <c r="L44">
        <v>10</v>
      </c>
      <c r="M44">
        <v>12</v>
      </c>
      <c r="N44">
        <f t="shared" si="16"/>
        <v>7.5</v>
      </c>
      <c r="O44">
        <f t="shared" si="17"/>
        <v>1.7730363538697391E-2</v>
      </c>
      <c r="P44">
        <f t="shared" si="18"/>
        <v>2.8198935658622026E-2</v>
      </c>
      <c r="Q44">
        <v>41</v>
      </c>
      <c r="R44" t="str">
        <v>submerged</v>
      </c>
      <c r="S44" t="str">
        <v>brace</v>
      </c>
      <c r="T44">
        <v>11.424272318182901</v>
      </c>
      <c r="U44">
        <v>0.8</v>
      </c>
      <c r="V44">
        <v>0.02</v>
      </c>
      <c r="W44">
        <v>4395.1396070585524</v>
      </c>
      <c r="X44" t="str">
        <v>L2</v>
      </c>
      <c r="Z44">
        <f t="shared" si="3"/>
        <v>9.0242723181829003</v>
      </c>
      <c r="AA44">
        <f t="shared" si="4"/>
        <v>4.9008845396000866E-2</v>
      </c>
      <c r="AB44">
        <f t="shared" si="5"/>
        <v>3471.8129597979032</v>
      </c>
      <c r="AC44">
        <f t="shared" si="6"/>
        <v>8505.9417515048626</v>
      </c>
      <c r="AD44">
        <f t="shared" si="7"/>
        <v>1968.5179482054109</v>
      </c>
      <c r="AE44">
        <f t="shared" si="8"/>
        <v>242.33254459389366</v>
      </c>
      <c r="AH44">
        <f t="shared" si="19"/>
        <v>2.4000000000000004</v>
      </c>
      <c r="AI44">
        <f t="shared" si="9"/>
        <v>0</v>
      </c>
      <c r="AJ44">
        <f t="shared" si="10"/>
        <v>0</v>
      </c>
      <c r="AK44">
        <f t="shared" si="11"/>
        <v>0</v>
      </c>
      <c r="AM44">
        <f t="shared" si="12"/>
        <v>0</v>
      </c>
      <c r="AN44">
        <f t="shared" si="13"/>
        <v>0</v>
      </c>
      <c r="AO44">
        <f t="shared" si="14"/>
        <v>0</v>
      </c>
      <c r="AP44">
        <f t="shared" si="20"/>
        <v>0</v>
      </c>
      <c r="AQ44">
        <f t="shared" si="21"/>
        <v>0</v>
      </c>
      <c r="AR44">
        <f t="shared" si="15"/>
        <v>0</v>
      </c>
    </row>
    <row r="45" spans="2:44" x14ac:dyDescent="0.25">
      <c r="I45">
        <v>42</v>
      </c>
      <c r="J45">
        <v>10</v>
      </c>
      <c r="K45">
        <v>12</v>
      </c>
      <c r="L45">
        <v>5</v>
      </c>
      <c r="M45">
        <v>12</v>
      </c>
      <c r="N45">
        <f t="shared" si="16"/>
        <v>7.5</v>
      </c>
      <c r="O45">
        <f t="shared" si="17"/>
        <v>1.7730363538697391E-2</v>
      </c>
      <c r="P45">
        <f t="shared" si="18"/>
        <v>2.8198935658622026E-2</v>
      </c>
      <c r="Q45">
        <v>42</v>
      </c>
      <c r="R45" t="str">
        <v>submerged</v>
      </c>
      <c r="S45" t="str">
        <v>brace</v>
      </c>
      <c r="T45">
        <v>10.25881762192895</v>
      </c>
      <c r="U45">
        <v>0.8</v>
      </c>
      <c r="V45">
        <v>0.02</v>
      </c>
      <c r="W45">
        <v>3946.766533214241</v>
      </c>
      <c r="X45" t="str">
        <v>L2</v>
      </c>
      <c r="Z45">
        <f t="shared" si="3"/>
        <v>7.8588176219289494</v>
      </c>
      <c r="AA45">
        <f t="shared" si="4"/>
        <v>4.9008845396000866E-2</v>
      </c>
      <c r="AB45">
        <f t="shared" si="5"/>
        <v>3023.4398859535922</v>
      </c>
      <c r="AC45">
        <f t="shared" si="6"/>
        <v>7407.4277205863018</v>
      </c>
      <c r="AD45">
        <f t="shared" si="7"/>
        <v>1714.2904153356867</v>
      </c>
      <c r="AE45">
        <f t="shared" si="8"/>
        <v>211.03610403956074</v>
      </c>
      <c r="AH45">
        <f t="shared" si="19"/>
        <v>2.4000000000000004</v>
      </c>
      <c r="AI45">
        <f t="shared" si="9"/>
        <v>0</v>
      </c>
      <c r="AJ45">
        <f t="shared" si="10"/>
        <v>0</v>
      </c>
      <c r="AK45">
        <f t="shared" si="11"/>
        <v>0</v>
      </c>
      <c r="AM45">
        <f t="shared" si="12"/>
        <v>0</v>
      </c>
      <c r="AN45">
        <f t="shared" si="13"/>
        <v>0</v>
      </c>
      <c r="AO45">
        <f t="shared" si="14"/>
        <v>0</v>
      </c>
      <c r="AP45">
        <f t="shared" si="20"/>
        <v>0</v>
      </c>
      <c r="AQ45">
        <f t="shared" si="21"/>
        <v>0</v>
      </c>
      <c r="AR45">
        <f t="shared" si="15"/>
        <v>0</v>
      </c>
    </row>
    <row r="46" spans="2:44" x14ac:dyDescent="0.25">
      <c r="I46">
        <v>43</v>
      </c>
      <c r="J46">
        <v>5</v>
      </c>
      <c r="K46">
        <v>12</v>
      </c>
      <c r="L46">
        <v>10</v>
      </c>
      <c r="M46">
        <v>12</v>
      </c>
      <c r="N46">
        <f t="shared" si="16"/>
        <v>7.5</v>
      </c>
      <c r="O46">
        <f t="shared" si="17"/>
        <v>1.7730363538697391E-2</v>
      </c>
      <c r="P46">
        <f t="shared" si="18"/>
        <v>2.8198935658622026E-2</v>
      </c>
      <c r="Q46">
        <v>43</v>
      </c>
      <c r="R46" t="str">
        <v>submerged</v>
      </c>
      <c r="S46" t="str">
        <v>brace</v>
      </c>
      <c r="T46">
        <v>11.424272318182901</v>
      </c>
      <c r="U46">
        <v>0.8</v>
      </c>
      <c r="V46">
        <v>0.02</v>
      </c>
      <c r="W46">
        <v>4395.1396070585524</v>
      </c>
      <c r="X46" t="str">
        <v>L2</v>
      </c>
      <c r="Z46">
        <f t="shared" si="3"/>
        <v>9.0242723181829003</v>
      </c>
      <c r="AA46">
        <f t="shared" si="4"/>
        <v>4.9008845396000866E-2</v>
      </c>
      <c r="AB46">
        <f t="shared" si="5"/>
        <v>3471.8129597979032</v>
      </c>
      <c r="AC46">
        <f t="shared" si="6"/>
        <v>8505.9417515048626</v>
      </c>
      <c r="AD46">
        <f t="shared" si="7"/>
        <v>1968.5179482054109</v>
      </c>
      <c r="AE46">
        <f t="shared" si="8"/>
        <v>242.33254459389366</v>
      </c>
      <c r="AH46">
        <f t="shared" si="19"/>
        <v>2.4000000000000004</v>
      </c>
      <c r="AI46">
        <f t="shared" si="9"/>
        <v>0</v>
      </c>
      <c r="AJ46">
        <f t="shared" si="10"/>
        <v>0</v>
      </c>
      <c r="AK46">
        <f t="shared" si="11"/>
        <v>0</v>
      </c>
      <c r="AM46">
        <f t="shared" si="12"/>
        <v>0</v>
      </c>
      <c r="AN46">
        <f t="shared" si="13"/>
        <v>0</v>
      </c>
      <c r="AO46">
        <f t="shared" si="14"/>
        <v>0</v>
      </c>
      <c r="AP46">
        <f t="shared" si="20"/>
        <v>0</v>
      </c>
      <c r="AQ46">
        <f t="shared" si="21"/>
        <v>0</v>
      </c>
      <c r="AR46">
        <f t="shared" si="15"/>
        <v>0</v>
      </c>
    </row>
    <row r="47" spans="2:44" x14ac:dyDescent="0.25">
      <c r="I47">
        <v>44</v>
      </c>
      <c r="J47">
        <v>10</v>
      </c>
      <c r="K47">
        <v>12</v>
      </c>
      <c r="L47">
        <v>5</v>
      </c>
      <c r="M47">
        <v>12</v>
      </c>
      <c r="N47">
        <f t="shared" si="16"/>
        <v>7.5</v>
      </c>
      <c r="O47">
        <f t="shared" si="17"/>
        <v>1.7730363538697391E-2</v>
      </c>
      <c r="P47">
        <f t="shared" si="18"/>
        <v>2.8198935658622026E-2</v>
      </c>
      <c r="Q47">
        <v>44</v>
      </c>
      <c r="R47" t="str">
        <v>submerged</v>
      </c>
      <c r="S47" t="str">
        <v>brace</v>
      </c>
      <c r="T47">
        <v>10.25881762192895</v>
      </c>
      <c r="U47">
        <v>0.8</v>
      </c>
      <c r="V47">
        <v>0.02</v>
      </c>
      <c r="W47">
        <v>3946.766533214241</v>
      </c>
      <c r="X47" t="str">
        <v>L2</v>
      </c>
      <c r="Z47">
        <f t="shared" si="3"/>
        <v>7.8588176219289494</v>
      </c>
      <c r="AA47">
        <f t="shared" si="4"/>
        <v>4.9008845396000866E-2</v>
      </c>
      <c r="AB47">
        <f t="shared" si="5"/>
        <v>3023.4398859535922</v>
      </c>
      <c r="AC47">
        <f t="shared" si="6"/>
        <v>7407.4277205863018</v>
      </c>
      <c r="AD47">
        <f t="shared" si="7"/>
        <v>1714.2904153356867</v>
      </c>
      <c r="AE47">
        <f t="shared" si="8"/>
        <v>211.03610403956074</v>
      </c>
      <c r="AH47">
        <f t="shared" si="19"/>
        <v>2.4000000000000004</v>
      </c>
      <c r="AI47">
        <f t="shared" si="9"/>
        <v>0</v>
      </c>
      <c r="AJ47">
        <f t="shared" si="10"/>
        <v>0</v>
      </c>
      <c r="AK47">
        <f t="shared" si="11"/>
        <v>0</v>
      </c>
      <c r="AM47">
        <f t="shared" si="12"/>
        <v>0</v>
      </c>
      <c r="AN47">
        <f t="shared" si="13"/>
        <v>0</v>
      </c>
      <c r="AO47">
        <f t="shared" si="14"/>
        <v>0</v>
      </c>
      <c r="AP47">
        <f t="shared" si="20"/>
        <v>0</v>
      </c>
      <c r="AQ47">
        <f t="shared" si="21"/>
        <v>0</v>
      </c>
      <c r="AR47">
        <f t="shared" si="15"/>
        <v>0</v>
      </c>
    </row>
    <row r="48" spans="2:44" x14ac:dyDescent="0.25">
      <c r="I48">
        <v>45</v>
      </c>
      <c r="J48">
        <v>5</v>
      </c>
      <c r="K48">
        <v>12</v>
      </c>
      <c r="L48">
        <v>10</v>
      </c>
      <c r="M48">
        <v>12</v>
      </c>
      <c r="N48">
        <f t="shared" si="16"/>
        <v>7.5</v>
      </c>
      <c r="O48">
        <f t="shared" si="17"/>
        <v>1.7730363538697391E-2</v>
      </c>
      <c r="P48">
        <f t="shared" si="18"/>
        <v>2.8198935658622026E-2</v>
      </c>
      <c r="Q48">
        <v>45</v>
      </c>
      <c r="R48" t="str">
        <v>submerged</v>
      </c>
      <c r="S48" t="str">
        <v>brace</v>
      </c>
      <c r="T48">
        <v>11.424272318182901</v>
      </c>
      <c r="U48">
        <v>0.8</v>
      </c>
      <c r="V48">
        <v>0.02</v>
      </c>
      <c r="W48">
        <v>4395.1396070585524</v>
      </c>
      <c r="X48" t="str">
        <v>L2</v>
      </c>
      <c r="Z48">
        <f t="shared" si="3"/>
        <v>9.0242723181829003</v>
      </c>
      <c r="AA48">
        <f t="shared" si="4"/>
        <v>4.9008845396000866E-2</v>
      </c>
      <c r="AB48">
        <f t="shared" si="5"/>
        <v>3471.8129597979032</v>
      </c>
      <c r="AC48">
        <f t="shared" si="6"/>
        <v>8505.9417515048626</v>
      </c>
      <c r="AD48">
        <f t="shared" si="7"/>
        <v>1968.5179482054109</v>
      </c>
      <c r="AE48">
        <f t="shared" si="8"/>
        <v>242.33254459389366</v>
      </c>
      <c r="AH48">
        <f t="shared" si="19"/>
        <v>2.4000000000000004</v>
      </c>
      <c r="AI48">
        <f t="shared" si="9"/>
        <v>0</v>
      </c>
      <c r="AJ48">
        <f t="shared" si="10"/>
        <v>0</v>
      </c>
      <c r="AK48">
        <f t="shared" si="11"/>
        <v>0</v>
      </c>
      <c r="AM48">
        <f t="shared" si="12"/>
        <v>0</v>
      </c>
      <c r="AN48">
        <f t="shared" si="13"/>
        <v>0</v>
      </c>
      <c r="AO48">
        <f t="shared" si="14"/>
        <v>0</v>
      </c>
      <c r="AP48">
        <f t="shared" si="20"/>
        <v>0</v>
      </c>
      <c r="AQ48">
        <f t="shared" si="21"/>
        <v>0</v>
      </c>
      <c r="AR48">
        <f t="shared" si="15"/>
        <v>0</v>
      </c>
    </row>
    <row r="49" spans="9:44" x14ac:dyDescent="0.25">
      <c r="I49">
        <v>46</v>
      </c>
      <c r="J49">
        <v>10</v>
      </c>
      <c r="K49">
        <v>12</v>
      </c>
      <c r="L49">
        <v>5</v>
      </c>
      <c r="M49">
        <v>12</v>
      </c>
      <c r="N49">
        <f t="shared" si="16"/>
        <v>7.5</v>
      </c>
      <c r="O49">
        <f t="shared" si="17"/>
        <v>1.7730363538697391E-2</v>
      </c>
      <c r="P49">
        <f t="shared" si="18"/>
        <v>2.8198935658622026E-2</v>
      </c>
      <c r="Q49">
        <v>46</v>
      </c>
      <c r="R49" t="str">
        <v>submerged</v>
      </c>
      <c r="S49" t="str">
        <v>brace</v>
      </c>
      <c r="T49">
        <v>10.25881762192895</v>
      </c>
      <c r="U49">
        <v>0.8</v>
      </c>
      <c r="V49">
        <v>0.02</v>
      </c>
      <c r="W49">
        <v>3946.766533214241</v>
      </c>
      <c r="X49" t="str">
        <v>L2</v>
      </c>
      <c r="Z49">
        <f t="shared" si="3"/>
        <v>7.8588176219289494</v>
      </c>
      <c r="AA49">
        <f t="shared" si="4"/>
        <v>4.9008845396000866E-2</v>
      </c>
      <c r="AB49">
        <f t="shared" si="5"/>
        <v>3023.4398859535922</v>
      </c>
      <c r="AC49">
        <f t="shared" si="6"/>
        <v>7407.4277205863018</v>
      </c>
      <c r="AD49">
        <f t="shared" si="7"/>
        <v>1714.2904153356867</v>
      </c>
      <c r="AE49">
        <f t="shared" si="8"/>
        <v>211.03610403956074</v>
      </c>
      <c r="AH49">
        <f t="shared" si="19"/>
        <v>2.4000000000000004</v>
      </c>
      <c r="AI49">
        <f t="shared" si="9"/>
        <v>0</v>
      </c>
      <c r="AJ49">
        <f t="shared" si="10"/>
        <v>0</v>
      </c>
      <c r="AK49">
        <f t="shared" si="11"/>
        <v>0</v>
      </c>
      <c r="AM49">
        <f t="shared" si="12"/>
        <v>0</v>
      </c>
      <c r="AN49">
        <f t="shared" si="13"/>
        <v>0</v>
      </c>
      <c r="AO49">
        <f t="shared" si="14"/>
        <v>0</v>
      </c>
      <c r="AP49">
        <f t="shared" si="20"/>
        <v>0</v>
      </c>
      <c r="AQ49">
        <f t="shared" si="21"/>
        <v>0</v>
      </c>
      <c r="AR49">
        <f t="shared" si="15"/>
        <v>0</v>
      </c>
    </row>
    <row r="50" spans="9:44" x14ac:dyDescent="0.25">
      <c r="I50">
        <v>47</v>
      </c>
      <c r="J50">
        <v>5</v>
      </c>
      <c r="K50">
        <v>12</v>
      </c>
      <c r="L50">
        <v>10</v>
      </c>
      <c r="M50">
        <v>12</v>
      </c>
      <c r="N50">
        <f t="shared" si="16"/>
        <v>7.5</v>
      </c>
      <c r="O50">
        <f t="shared" si="17"/>
        <v>1.7730363538697391E-2</v>
      </c>
      <c r="P50">
        <f t="shared" si="18"/>
        <v>2.8198935658622026E-2</v>
      </c>
      <c r="Q50">
        <v>47</v>
      </c>
      <c r="R50" t="str">
        <v>submerged</v>
      </c>
      <c r="S50" t="str">
        <v>brace</v>
      </c>
      <c r="T50">
        <v>11.424272318182901</v>
      </c>
      <c r="U50">
        <v>0.8</v>
      </c>
      <c r="V50">
        <v>0.02</v>
      </c>
      <c r="W50">
        <v>4395.1396070585524</v>
      </c>
      <c r="X50" t="str">
        <v>L2</v>
      </c>
      <c r="Z50">
        <f t="shared" si="3"/>
        <v>9.0242723181829003</v>
      </c>
      <c r="AA50">
        <f t="shared" si="4"/>
        <v>4.9008845396000866E-2</v>
      </c>
      <c r="AB50">
        <f t="shared" si="5"/>
        <v>3471.8129597979032</v>
      </c>
      <c r="AC50">
        <f t="shared" si="6"/>
        <v>8505.9417515048626</v>
      </c>
      <c r="AD50">
        <f t="shared" si="7"/>
        <v>1968.5179482054109</v>
      </c>
      <c r="AE50">
        <f t="shared" si="8"/>
        <v>242.33254459389366</v>
      </c>
      <c r="AH50">
        <f t="shared" si="19"/>
        <v>2.4000000000000004</v>
      </c>
      <c r="AI50">
        <f t="shared" si="9"/>
        <v>0</v>
      </c>
      <c r="AJ50">
        <f t="shared" si="10"/>
        <v>0</v>
      </c>
      <c r="AK50">
        <f t="shared" si="11"/>
        <v>0</v>
      </c>
      <c r="AM50">
        <f t="shared" si="12"/>
        <v>0</v>
      </c>
      <c r="AN50">
        <f t="shared" si="13"/>
        <v>0</v>
      </c>
      <c r="AO50">
        <f t="shared" si="14"/>
        <v>0</v>
      </c>
      <c r="AP50">
        <f t="shared" si="20"/>
        <v>0</v>
      </c>
      <c r="AQ50">
        <f t="shared" si="21"/>
        <v>0</v>
      </c>
      <c r="AR50">
        <f t="shared" si="15"/>
        <v>0</v>
      </c>
    </row>
    <row r="51" spans="9:44" x14ac:dyDescent="0.25">
      <c r="I51">
        <v>48</v>
      </c>
      <c r="J51">
        <v>10</v>
      </c>
      <c r="K51">
        <v>12</v>
      </c>
      <c r="L51">
        <v>5</v>
      </c>
      <c r="M51">
        <v>12</v>
      </c>
      <c r="N51">
        <f t="shared" si="16"/>
        <v>7.5</v>
      </c>
      <c r="O51">
        <f t="shared" si="17"/>
        <v>1.7730363538697391E-2</v>
      </c>
      <c r="P51">
        <f t="shared" si="18"/>
        <v>2.8198935658622026E-2</v>
      </c>
      <c r="Q51">
        <v>48</v>
      </c>
      <c r="R51" t="str">
        <v>submerged</v>
      </c>
      <c r="S51" t="str">
        <v>brace</v>
      </c>
      <c r="T51">
        <v>10.25881762192895</v>
      </c>
      <c r="U51">
        <v>0.8</v>
      </c>
      <c r="V51">
        <v>0.02</v>
      </c>
      <c r="W51">
        <v>3946.766533214241</v>
      </c>
      <c r="X51" t="str">
        <v>L2</v>
      </c>
      <c r="Z51">
        <f t="shared" si="3"/>
        <v>7.8588176219289494</v>
      </c>
      <c r="AA51">
        <f t="shared" si="4"/>
        <v>4.9008845396000866E-2</v>
      </c>
      <c r="AB51">
        <f t="shared" si="5"/>
        <v>3023.4398859535922</v>
      </c>
      <c r="AC51">
        <f t="shared" si="6"/>
        <v>7407.4277205863018</v>
      </c>
      <c r="AD51">
        <f t="shared" si="7"/>
        <v>1714.2904153356867</v>
      </c>
      <c r="AE51">
        <f t="shared" si="8"/>
        <v>211.03610403956074</v>
      </c>
      <c r="AH51">
        <f t="shared" si="19"/>
        <v>2.4000000000000004</v>
      </c>
      <c r="AI51">
        <f t="shared" si="9"/>
        <v>0</v>
      </c>
      <c r="AJ51">
        <f t="shared" si="10"/>
        <v>0</v>
      </c>
      <c r="AK51">
        <f t="shared" si="11"/>
        <v>0</v>
      </c>
      <c r="AM51">
        <f t="shared" si="12"/>
        <v>0</v>
      </c>
      <c r="AN51">
        <f t="shared" si="13"/>
        <v>0</v>
      </c>
      <c r="AO51">
        <f t="shared" si="14"/>
        <v>0</v>
      </c>
      <c r="AP51">
        <f t="shared" si="20"/>
        <v>0</v>
      </c>
      <c r="AQ51">
        <f t="shared" si="21"/>
        <v>0</v>
      </c>
      <c r="AR51">
        <f t="shared" si="15"/>
        <v>0</v>
      </c>
    </row>
    <row r="52" spans="9:44" x14ac:dyDescent="0.25">
      <c r="I52">
        <v>49</v>
      </c>
      <c r="J52">
        <v>5</v>
      </c>
      <c r="K52">
        <v>12</v>
      </c>
      <c r="L52">
        <v>10</v>
      </c>
      <c r="M52">
        <v>12</v>
      </c>
      <c r="N52">
        <f t="shared" si="16"/>
        <v>7.5</v>
      </c>
      <c r="O52">
        <f t="shared" si="17"/>
        <v>1.7730363538697391E-2</v>
      </c>
      <c r="P52">
        <f t="shared" si="18"/>
        <v>2.8198935658622026E-2</v>
      </c>
      <c r="Q52">
        <v>49</v>
      </c>
      <c r="R52" t="str">
        <v>submerged</v>
      </c>
      <c r="S52" t="str">
        <v>brace</v>
      </c>
      <c r="T52">
        <v>11.424272318182901</v>
      </c>
      <c r="U52">
        <v>0.8</v>
      </c>
      <c r="V52">
        <v>0.02</v>
      </c>
      <c r="W52">
        <v>4395.1396070585524</v>
      </c>
      <c r="X52" t="str">
        <v>L2</v>
      </c>
      <c r="Z52">
        <f t="shared" si="3"/>
        <v>9.0242723181829003</v>
      </c>
      <c r="AA52">
        <f t="shared" si="4"/>
        <v>4.9008845396000866E-2</v>
      </c>
      <c r="AB52">
        <f t="shared" si="5"/>
        <v>3471.8129597979032</v>
      </c>
      <c r="AC52">
        <f t="shared" si="6"/>
        <v>8505.9417515048626</v>
      </c>
      <c r="AD52">
        <f t="shared" si="7"/>
        <v>1968.5179482054109</v>
      </c>
      <c r="AE52">
        <f t="shared" si="8"/>
        <v>242.33254459389366</v>
      </c>
      <c r="AH52">
        <f t="shared" si="19"/>
        <v>2.4000000000000004</v>
      </c>
      <c r="AI52">
        <f t="shared" si="9"/>
        <v>0</v>
      </c>
      <c r="AJ52">
        <f t="shared" si="10"/>
        <v>0</v>
      </c>
      <c r="AK52">
        <f t="shared" si="11"/>
        <v>0</v>
      </c>
      <c r="AM52">
        <f t="shared" si="12"/>
        <v>0</v>
      </c>
      <c r="AN52">
        <f t="shared" si="13"/>
        <v>0</v>
      </c>
      <c r="AO52">
        <f t="shared" si="14"/>
        <v>0</v>
      </c>
      <c r="AP52">
        <f t="shared" si="20"/>
        <v>0</v>
      </c>
      <c r="AQ52">
        <f t="shared" si="21"/>
        <v>0</v>
      </c>
      <c r="AR52">
        <f t="shared" si="15"/>
        <v>0</v>
      </c>
    </row>
    <row r="53" spans="9:44" x14ac:dyDescent="0.25">
      <c r="I53">
        <v>50</v>
      </c>
      <c r="J53">
        <v>10</v>
      </c>
      <c r="K53">
        <v>12</v>
      </c>
      <c r="L53">
        <v>5</v>
      </c>
      <c r="M53">
        <v>12</v>
      </c>
      <c r="N53">
        <f t="shared" si="16"/>
        <v>7.5</v>
      </c>
      <c r="O53">
        <f t="shared" si="17"/>
        <v>1.7730363538697391E-2</v>
      </c>
      <c r="P53">
        <f t="shared" si="18"/>
        <v>2.8198935658622026E-2</v>
      </c>
      <c r="Q53">
        <v>50</v>
      </c>
      <c r="R53" t="str">
        <v>submerged</v>
      </c>
      <c r="S53" t="str">
        <v>brace</v>
      </c>
      <c r="T53">
        <v>10.25881762192895</v>
      </c>
      <c r="U53">
        <v>0.8</v>
      </c>
      <c r="V53">
        <v>0.02</v>
      </c>
      <c r="W53">
        <v>3946.766533214241</v>
      </c>
      <c r="X53" t="str">
        <v>L2</v>
      </c>
      <c r="Z53">
        <f t="shared" si="3"/>
        <v>7.8588176219289494</v>
      </c>
      <c r="AA53">
        <f t="shared" si="4"/>
        <v>4.9008845396000866E-2</v>
      </c>
      <c r="AB53">
        <f t="shared" si="5"/>
        <v>3023.4398859535922</v>
      </c>
      <c r="AC53">
        <f t="shared" si="6"/>
        <v>7407.4277205863018</v>
      </c>
      <c r="AD53">
        <f t="shared" si="7"/>
        <v>1714.2904153356867</v>
      </c>
      <c r="AE53">
        <f t="shared" si="8"/>
        <v>211.03610403956074</v>
      </c>
      <c r="AH53">
        <f t="shared" si="19"/>
        <v>2.4000000000000004</v>
      </c>
      <c r="AI53">
        <f t="shared" si="9"/>
        <v>0</v>
      </c>
      <c r="AJ53">
        <f t="shared" si="10"/>
        <v>0</v>
      </c>
      <c r="AK53">
        <f t="shared" si="11"/>
        <v>0</v>
      </c>
      <c r="AM53">
        <f t="shared" si="12"/>
        <v>0</v>
      </c>
      <c r="AN53">
        <f t="shared" si="13"/>
        <v>0</v>
      </c>
      <c r="AO53">
        <f t="shared" si="14"/>
        <v>0</v>
      </c>
      <c r="AP53">
        <f t="shared" si="20"/>
        <v>0</v>
      </c>
      <c r="AQ53">
        <f t="shared" si="21"/>
        <v>0</v>
      </c>
      <c r="AR53">
        <f t="shared" si="15"/>
        <v>0</v>
      </c>
    </row>
    <row r="54" spans="9:44" x14ac:dyDescent="0.25">
      <c r="I54">
        <v>51</v>
      </c>
      <c r="J54">
        <v>5</v>
      </c>
      <c r="K54">
        <v>12</v>
      </c>
      <c r="L54">
        <v>10</v>
      </c>
      <c r="M54">
        <v>12</v>
      </c>
      <c r="N54">
        <f t="shared" si="16"/>
        <v>7.5</v>
      </c>
      <c r="O54">
        <f t="shared" si="17"/>
        <v>1.7730363538697391E-2</v>
      </c>
      <c r="P54">
        <f t="shared" si="18"/>
        <v>2.8198935658622026E-2</v>
      </c>
      <c r="Q54">
        <v>51</v>
      </c>
      <c r="R54" t="str">
        <v>submerged</v>
      </c>
      <c r="S54" t="str">
        <v>brace</v>
      </c>
      <c r="T54">
        <v>11.424272318182901</v>
      </c>
      <c r="U54">
        <v>0.8</v>
      </c>
      <c r="V54">
        <v>0.02</v>
      </c>
      <c r="W54">
        <v>4395.1396070585524</v>
      </c>
      <c r="X54" t="str">
        <v>L2</v>
      </c>
      <c r="Z54">
        <f t="shared" si="3"/>
        <v>9.0242723181829003</v>
      </c>
      <c r="AA54">
        <f t="shared" si="4"/>
        <v>4.9008845396000866E-2</v>
      </c>
      <c r="AB54">
        <f t="shared" si="5"/>
        <v>3471.8129597979032</v>
      </c>
      <c r="AC54">
        <f t="shared" si="6"/>
        <v>8505.9417515048626</v>
      </c>
      <c r="AD54">
        <f t="shared" si="7"/>
        <v>1968.5179482054109</v>
      </c>
      <c r="AE54">
        <f t="shared" si="8"/>
        <v>242.33254459389366</v>
      </c>
      <c r="AH54">
        <f t="shared" si="19"/>
        <v>2.4000000000000004</v>
      </c>
      <c r="AI54">
        <f t="shared" si="9"/>
        <v>0</v>
      </c>
      <c r="AJ54">
        <f t="shared" si="10"/>
        <v>0</v>
      </c>
      <c r="AK54">
        <f t="shared" si="11"/>
        <v>0</v>
      </c>
      <c r="AM54">
        <f t="shared" si="12"/>
        <v>0</v>
      </c>
      <c r="AN54">
        <f t="shared" si="13"/>
        <v>0</v>
      </c>
      <c r="AO54">
        <f t="shared" si="14"/>
        <v>0</v>
      </c>
      <c r="AP54">
        <f t="shared" si="20"/>
        <v>0</v>
      </c>
      <c r="AQ54">
        <f t="shared" si="21"/>
        <v>0</v>
      </c>
      <c r="AR54">
        <f t="shared" si="15"/>
        <v>0</v>
      </c>
    </row>
    <row r="55" spans="9:44" x14ac:dyDescent="0.25">
      <c r="I55">
        <v>52</v>
      </c>
      <c r="J55">
        <v>10</v>
      </c>
      <c r="K55">
        <v>12</v>
      </c>
      <c r="L55">
        <v>5</v>
      </c>
      <c r="M55">
        <v>12</v>
      </c>
      <c r="N55">
        <f t="shared" si="16"/>
        <v>7.5</v>
      </c>
      <c r="O55">
        <f t="shared" si="17"/>
        <v>1.7730363538697391E-2</v>
      </c>
      <c r="P55">
        <f t="shared" si="18"/>
        <v>2.8198935658622026E-2</v>
      </c>
      <c r="Q55">
        <v>52</v>
      </c>
      <c r="R55" t="str">
        <v>submerged</v>
      </c>
      <c r="S55" t="str">
        <v>brace</v>
      </c>
      <c r="T55">
        <v>10.25881762192895</v>
      </c>
      <c r="U55">
        <v>0.8</v>
      </c>
      <c r="V55">
        <v>0.02</v>
      </c>
      <c r="W55">
        <v>3946.766533214241</v>
      </c>
      <c r="X55" t="str">
        <v>L2</v>
      </c>
      <c r="Z55">
        <f t="shared" si="3"/>
        <v>7.8588176219289494</v>
      </c>
      <c r="AA55">
        <f t="shared" si="4"/>
        <v>4.9008845396000866E-2</v>
      </c>
      <c r="AB55">
        <f t="shared" si="5"/>
        <v>3023.4398859535922</v>
      </c>
      <c r="AC55">
        <f t="shared" si="6"/>
        <v>7407.4277205863018</v>
      </c>
      <c r="AD55">
        <f t="shared" si="7"/>
        <v>1714.2904153356867</v>
      </c>
      <c r="AE55">
        <f t="shared" si="8"/>
        <v>211.03610403956074</v>
      </c>
      <c r="AH55">
        <f t="shared" si="19"/>
        <v>2.4000000000000004</v>
      </c>
      <c r="AI55">
        <f t="shared" si="9"/>
        <v>0</v>
      </c>
      <c r="AJ55">
        <f t="shared" si="10"/>
        <v>0</v>
      </c>
      <c r="AK55">
        <f t="shared" si="11"/>
        <v>0</v>
      </c>
      <c r="AM55">
        <f t="shared" si="12"/>
        <v>0</v>
      </c>
      <c r="AN55">
        <f t="shared" si="13"/>
        <v>0</v>
      </c>
      <c r="AO55">
        <f t="shared" si="14"/>
        <v>0</v>
      </c>
      <c r="AP55">
        <f t="shared" si="20"/>
        <v>0</v>
      </c>
      <c r="AQ55">
        <f t="shared" si="21"/>
        <v>0</v>
      </c>
      <c r="AR55">
        <f t="shared" si="15"/>
        <v>0</v>
      </c>
    </row>
    <row r="56" spans="9:44" x14ac:dyDescent="0.25">
      <c r="I56">
        <v>53</v>
      </c>
      <c r="J56">
        <v>5</v>
      </c>
      <c r="K56">
        <v>12</v>
      </c>
      <c r="L56">
        <v>5</v>
      </c>
      <c r="M56">
        <v>12</v>
      </c>
      <c r="N56">
        <f t="shared" si="16"/>
        <v>5</v>
      </c>
      <c r="O56">
        <f t="shared" si="17"/>
        <v>1.1859512267301475E-2</v>
      </c>
      <c r="P56">
        <f t="shared" si="18"/>
        <v>2.8198935658622026E-2</v>
      </c>
      <c r="Q56">
        <v>53</v>
      </c>
      <c r="R56" t="str">
        <v>submerged</v>
      </c>
      <c r="S56" t="str">
        <v>brace</v>
      </c>
      <c r="T56">
        <v>9.8214204166199934</v>
      </c>
      <c r="U56">
        <v>0.8</v>
      </c>
      <c r="V56">
        <v>0.02</v>
      </c>
      <c r="W56">
        <v>3778.4913269229501</v>
      </c>
      <c r="X56" t="str">
        <v>L2</v>
      </c>
      <c r="Z56">
        <f t="shared" si="3"/>
        <v>7.4214204166199931</v>
      </c>
      <c r="AA56">
        <f t="shared" si="4"/>
        <v>4.9008845396000866E-2</v>
      </c>
      <c r="AB56">
        <f t="shared" si="5"/>
        <v>2855.1646796623008</v>
      </c>
      <c r="AC56">
        <f t="shared" si="6"/>
        <v>6995.1534651726379</v>
      </c>
      <c r="AD56">
        <f t="shared" si="7"/>
        <v>1618.8783733685245</v>
      </c>
      <c r="AE56">
        <f t="shared" si="8"/>
        <v>199.29049464042859</v>
      </c>
      <c r="AH56">
        <f t="shared" si="19"/>
        <v>2.4000000000000004</v>
      </c>
      <c r="AI56">
        <f t="shared" si="9"/>
        <v>0</v>
      </c>
      <c r="AJ56">
        <f t="shared" si="10"/>
        <v>0</v>
      </c>
      <c r="AK56">
        <f t="shared" si="11"/>
        <v>0</v>
      </c>
      <c r="AM56">
        <f t="shared" si="12"/>
        <v>0</v>
      </c>
      <c r="AN56">
        <f t="shared" si="13"/>
        <v>0</v>
      </c>
      <c r="AO56">
        <f t="shared" si="14"/>
        <v>0</v>
      </c>
      <c r="AP56">
        <f t="shared" si="20"/>
        <v>0</v>
      </c>
      <c r="AQ56">
        <f t="shared" si="21"/>
        <v>0</v>
      </c>
      <c r="AR56">
        <f t="shared" si="15"/>
        <v>0</v>
      </c>
    </row>
    <row r="57" spans="9:44" x14ac:dyDescent="0.25">
      <c r="I57">
        <v>54</v>
      </c>
      <c r="J57">
        <v>5</v>
      </c>
      <c r="K57">
        <v>12</v>
      </c>
      <c r="L57">
        <v>5</v>
      </c>
      <c r="M57">
        <v>12</v>
      </c>
      <c r="N57">
        <f t="shared" si="16"/>
        <v>5</v>
      </c>
      <c r="O57">
        <f t="shared" si="17"/>
        <v>1.1859512267301475E-2</v>
      </c>
      <c r="P57">
        <f t="shared" si="18"/>
        <v>2.8198935658622026E-2</v>
      </c>
      <c r="Q57">
        <v>54</v>
      </c>
      <c r="R57" t="str">
        <v>submerged</v>
      </c>
      <c r="S57" t="str">
        <v>brace</v>
      </c>
      <c r="T57">
        <v>8.8757837400423387</v>
      </c>
      <c r="U57">
        <v>0.8</v>
      </c>
      <c r="V57">
        <v>0.02</v>
      </c>
      <c r="W57">
        <v>3414.6865177099689</v>
      </c>
      <c r="X57" t="str">
        <v>L2</v>
      </c>
      <c r="Z57">
        <f t="shared" si="3"/>
        <v>6.4757837400423384</v>
      </c>
      <c r="AA57">
        <f t="shared" si="4"/>
        <v>4.9008845396000866E-2</v>
      </c>
      <c r="AB57">
        <f t="shared" si="5"/>
        <v>2491.3598704493188</v>
      </c>
      <c r="AC57">
        <f t="shared" si="6"/>
        <v>6103.8316826008313</v>
      </c>
      <c r="AD57">
        <f t="shared" si="7"/>
        <v>1412.6010465447637</v>
      </c>
      <c r="AE57">
        <f t="shared" si="8"/>
        <v>173.89691895736246</v>
      </c>
      <c r="AH57">
        <f t="shared" si="19"/>
        <v>2.4000000000000004</v>
      </c>
      <c r="AI57">
        <f t="shared" si="9"/>
        <v>0</v>
      </c>
      <c r="AJ57">
        <f t="shared" si="10"/>
        <v>0</v>
      </c>
      <c r="AK57">
        <f t="shared" si="11"/>
        <v>0</v>
      </c>
      <c r="AM57">
        <f t="shared" si="12"/>
        <v>0</v>
      </c>
      <c r="AN57">
        <f t="shared" si="13"/>
        <v>0</v>
      </c>
      <c r="AO57">
        <f t="shared" si="14"/>
        <v>0</v>
      </c>
      <c r="AP57">
        <f t="shared" si="20"/>
        <v>0</v>
      </c>
      <c r="AQ57">
        <f t="shared" si="21"/>
        <v>0</v>
      </c>
      <c r="AR57">
        <f t="shared" si="15"/>
        <v>0</v>
      </c>
    </row>
    <row r="58" spans="9:44" x14ac:dyDescent="0.25">
      <c r="I58">
        <v>55</v>
      </c>
      <c r="J58">
        <v>5</v>
      </c>
      <c r="K58">
        <v>12</v>
      </c>
      <c r="L58">
        <v>5</v>
      </c>
      <c r="M58">
        <v>12</v>
      </c>
      <c r="N58">
        <f t="shared" si="16"/>
        <v>5</v>
      </c>
      <c r="O58">
        <f t="shared" si="17"/>
        <v>1.1859512267301475E-2</v>
      </c>
      <c r="P58">
        <f t="shared" si="18"/>
        <v>2.8198935658622026E-2</v>
      </c>
      <c r="Q58">
        <v>55</v>
      </c>
      <c r="R58" t="str">
        <v>submerged</v>
      </c>
      <c r="S58" t="str">
        <v>brace</v>
      </c>
      <c r="T58">
        <v>9.8214204166199934</v>
      </c>
      <c r="U58">
        <v>0.8</v>
      </c>
      <c r="V58">
        <v>0.02</v>
      </c>
      <c r="W58">
        <v>3778.4913269229501</v>
      </c>
      <c r="X58" t="str">
        <v>L2</v>
      </c>
      <c r="Z58">
        <f t="shared" si="3"/>
        <v>7.4214204166199931</v>
      </c>
      <c r="AA58">
        <f t="shared" si="4"/>
        <v>4.9008845396000866E-2</v>
      </c>
      <c r="AB58">
        <f t="shared" si="5"/>
        <v>2855.1646796623008</v>
      </c>
      <c r="AC58">
        <f t="shared" si="6"/>
        <v>6995.1534651726379</v>
      </c>
      <c r="AD58">
        <f t="shared" si="7"/>
        <v>1618.8783733685245</v>
      </c>
      <c r="AE58">
        <f t="shared" si="8"/>
        <v>199.29049464042859</v>
      </c>
      <c r="AH58">
        <f t="shared" si="19"/>
        <v>2.4000000000000004</v>
      </c>
      <c r="AI58">
        <f t="shared" si="9"/>
        <v>0</v>
      </c>
      <c r="AJ58">
        <f t="shared" si="10"/>
        <v>0</v>
      </c>
      <c r="AK58">
        <f t="shared" si="11"/>
        <v>0</v>
      </c>
      <c r="AM58">
        <f t="shared" si="12"/>
        <v>0</v>
      </c>
      <c r="AN58">
        <f t="shared" si="13"/>
        <v>0</v>
      </c>
      <c r="AO58">
        <f t="shared" si="14"/>
        <v>0</v>
      </c>
      <c r="AP58">
        <f t="shared" si="20"/>
        <v>0</v>
      </c>
      <c r="AQ58">
        <f t="shared" si="21"/>
        <v>0</v>
      </c>
      <c r="AR58">
        <f t="shared" si="15"/>
        <v>0</v>
      </c>
    </row>
    <row r="59" spans="9:44" x14ac:dyDescent="0.25">
      <c r="I59">
        <v>56</v>
      </c>
      <c r="J59">
        <v>5</v>
      </c>
      <c r="K59">
        <v>12</v>
      </c>
      <c r="L59">
        <v>5</v>
      </c>
      <c r="M59">
        <v>12</v>
      </c>
      <c r="N59">
        <f t="shared" si="16"/>
        <v>5</v>
      </c>
      <c r="O59">
        <f t="shared" si="17"/>
        <v>1.1859512267301475E-2</v>
      </c>
      <c r="P59">
        <f t="shared" si="18"/>
        <v>2.8198935658622026E-2</v>
      </c>
      <c r="Q59">
        <v>56</v>
      </c>
      <c r="R59" t="str">
        <v>submerged</v>
      </c>
      <c r="S59" t="str">
        <v>brace</v>
      </c>
      <c r="T59">
        <v>8.8757837400423387</v>
      </c>
      <c r="U59">
        <v>0.8</v>
      </c>
      <c r="V59">
        <v>0.02</v>
      </c>
      <c r="W59">
        <v>3414.6865177099689</v>
      </c>
      <c r="X59" t="str">
        <v>L2</v>
      </c>
      <c r="Z59">
        <f t="shared" si="3"/>
        <v>6.4757837400423384</v>
      </c>
      <c r="AA59">
        <f t="shared" si="4"/>
        <v>4.9008845396000866E-2</v>
      </c>
      <c r="AB59">
        <f t="shared" si="5"/>
        <v>2491.3598704493188</v>
      </c>
      <c r="AC59">
        <f t="shared" si="6"/>
        <v>6103.8316826008313</v>
      </c>
      <c r="AD59">
        <f t="shared" si="7"/>
        <v>1412.6010465447637</v>
      </c>
      <c r="AE59">
        <f t="shared" si="8"/>
        <v>173.89691895736246</v>
      </c>
      <c r="AH59">
        <f t="shared" si="19"/>
        <v>2.4000000000000004</v>
      </c>
      <c r="AI59">
        <f t="shared" si="9"/>
        <v>0</v>
      </c>
      <c r="AJ59">
        <f t="shared" si="10"/>
        <v>0</v>
      </c>
      <c r="AK59">
        <f t="shared" si="11"/>
        <v>0</v>
      </c>
      <c r="AM59">
        <f t="shared" si="12"/>
        <v>0</v>
      </c>
      <c r="AN59">
        <f t="shared" si="13"/>
        <v>0</v>
      </c>
      <c r="AO59">
        <f t="shared" si="14"/>
        <v>0</v>
      </c>
      <c r="AP59">
        <f t="shared" si="20"/>
        <v>0</v>
      </c>
      <c r="AQ59">
        <f t="shared" si="21"/>
        <v>0</v>
      </c>
      <c r="AR59">
        <f t="shared" si="15"/>
        <v>0</v>
      </c>
    </row>
    <row r="60" spans="9:44" x14ac:dyDescent="0.25">
      <c r="I60">
        <v>57</v>
      </c>
      <c r="J60">
        <v>5</v>
      </c>
      <c r="K60">
        <v>12</v>
      </c>
      <c r="L60">
        <v>5</v>
      </c>
      <c r="M60">
        <v>12</v>
      </c>
      <c r="N60">
        <f t="shared" si="16"/>
        <v>5</v>
      </c>
      <c r="O60">
        <f t="shared" si="17"/>
        <v>1.1859512267301475E-2</v>
      </c>
      <c r="P60">
        <f t="shared" si="18"/>
        <v>2.8198935658622026E-2</v>
      </c>
      <c r="Q60">
        <v>57</v>
      </c>
      <c r="R60" t="str">
        <v>submerged</v>
      </c>
      <c r="S60" t="str">
        <v>brace</v>
      </c>
      <c r="T60">
        <v>9.8214204166199934</v>
      </c>
      <c r="U60">
        <v>0.8</v>
      </c>
      <c r="V60">
        <v>0.02</v>
      </c>
      <c r="W60">
        <v>3778.4913269229501</v>
      </c>
      <c r="X60" t="str">
        <v>L2</v>
      </c>
      <c r="Z60">
        <f t="shared" si="3"/>
        <v>7.4214204166199931</v>
      </c>
      <c r="AA60">
        <f t="shared" si="4"/>
        <v>4.9008845396000866E-2</v>
      </c>
      <c r="AB60">
        <f t="shared" si="5"/>
        <v>2855.1646796623008</v>
      </c>
      <c r="AC60">
        <f t="shared" si="6"/>
        <v>6995.1534651726379</v>
      </c>
      <c r="AD60">
        <f t="shared" si="7"/>
        <v>1618.8783733685245</v>
      </c>
      <c r="AE60">
        <f t="shared" si="8"/>
        <v>199.29049464042859</v>
      </c>
      <c r="AH60">
        <f t="shared" si="19"/>
        <v>2.4000000000000004</v>
      </c>
      <c r="AI60">
        <f t="shared" si="9"/>
        <v>0</v>
      </c>
      <c r="AJ60">
        <f t="shared" si="10"/>
        <v>0</v>
      </c>
      <c r="AK60">
        <f t="shared" si="11"/>
        <v>0</v>
      </c>
      <c r="AM60">
        <f t="shared" si="12"/>
        <v>0</v>
      </c>
      <c r="AN60">
        <f t="shared" si="13"/>
        <v>0</v>
      </c>
      <c r="AO60">
        <f t="shared" si="14"/>
        <v>0</v>
      </c>
      <c r="AP60">
        <f t="shared" si="20"/>
        <v>0</v>
      </c>
      <c r="AQ60">
        <f t="shared" si="21"/>
        <v>0</v>
      </c>
      <c r="AR60">
        <f t="shared" si="15"/>
        <v>0</v>
      </c>
    </row>
    <row r="61" spans="9:44" x14ac:dyDescent="0.25">
      <c r="I61">
        <v>58</v>
      </c>
      <c r="J61">
        <v>5</v>
      </c>
      <c r="K61">
        <v>12</v>
      </c>
      <c r="L61">
        <v>5</v>
      </c>
      <c r="M61">
        <v>12</v>
      </c>
      <c r="N61">
        <f t="shared" si="16"/>
        <v>5</v>
      </c>
      <c r="O61">
        <f t="shared" si="17"/>
        <v>1.1859512267301475E-2</v>
      </c>
      <c r="P61">
        <f t="shared" si="18"/>
        <v>2.8198935658622026E-2</v>
      </c>
      <c r="Q61">
        <v>58</v>
      </c>
      <c r="R61" t="str">
        <v>submerged</v>
      </c>
      <c r="S61" t="str">
        <v>brace</v>
      </c>
      <c r="T61">
        <v>8.8757837400423387</v>
      </c>
      <c r="U61">
        <v>0.8</v>
      </c>
      <c r="V61">
        <v>0.02</v>
      </c>
      <c r="W61">
        <v>3414.6865177099689</v>
      </c>
      <c r="X61" t="str">
        <v>L2</v>
      </c>
      <c r="Z61">
        <f t="shared" si="3"/>
        <v>6.4757837400423384</v>
      </c>
      <c r="AA61">
        <f t="shared" si="4"/>
        <v>4.9008845396000866E-2</v>
      </c>
      <c r="AB61">
        <f t="shared" si="5"/>
        <v>2491.3598704493188</v>
      </c>
      <c r="AC61">
        <f t="shared" si="6"/>
        <v>6103.8316826008313</v>
      </c>
      <c r="AD61">
        <f t="shared" si="7"/>
        <v>1412.6010465447637</v>
      </c>
      <c r="AE61">
        <f t="shared" si="8"/>
        <v>173.89691895736246</v>
      </c>
      <c r="AH61">
        <f t="shared" si="19"/>
        <v>2.4000000000000004</v>
      </c>
      <c r="AI61">
        <f t="shared" si="9"/>
        <v>0</v>
      </c>
      <c r="AJ61">
        <f t="shared" si="10"/>
        <v>0</v>
      </c>
      <c r="AK61">
        <f t="shared" si="11"/>
        <v>0</v>
      </c>
      <c r="AM61">
        <f t="shared" si="12"/>
        <v>0</v>
      </c>
      <c r="AN61">
        <f t="shared" si="13"/>
        <v>0</v>
      </c>
      <c r="AO61">
        <f t="shared" si="14"/>
        <v>0</v>
      </c>
      <c r="AP61">
        <f t="shared" si="20"/>
        <v>0</v>
      </c>
      <c r="AQ61">
        <f t="shared" si="21"/>
        <v>0</v>
      </c>
      <c r="AR61">
        <f t="shared" si="15"/>
        <v>0</v>
      </c>
    </row>
    <row r="62" spans="9:44" x14ac:dyDescent="0.25">
      <c r="I62">
        <v>59</v>
      </c>
      <c r="J62">
        <v>5</v>
      </c>
      <c r="K62">
        <v>12</v>
      </c>
      <c r="L62">
        <v>5</v>
      </c>
      <c r="M62">
        <v>12</v>
      </c>
      <c r="N62">
        <f t="shared" si="16"/>
        <v>5</v>
      </c>
      <c r="O62">
        <f t="shared" si="17"/>
        <v>1.1859512267301475E-2</v>
      </c>
      <c r="P62">
        <f t="shared" si="18"/>
        <v>2.8198935658622026E-2</v>
      </c>
      <c r="Q62">
        <v>59</v>
      </c>
      <c r="R62" t="str">
        <v>submerged</v>
      </c>
      <c r="S62" t="str">
        <v>brace</v>
      </c>
      <c r="T62">
        <v>9.8214204166199934</v>
      </c>
      <c r="U62">
        <v>0.8</v>
      </c>
      <c r="V62">
        <v>0.02</v>
      </c>
      <c r="W62">
        <v>3778.4913269229501</v>
      </c>
      <c r="X62" t="str">
        <v>L2</v>
      </c>
      <c r="Z62">
        <f t="shared" si="3"/>
        <v>7.4214204166199931</v>
      </c>
      <c r="AA62">
        <f t="shared" si="4"/>
        <v>4.9008845396000866E-2</v>
      </c>
      <c r="AB62">
        <f t="shared" si="5"/>
        <v>2855.1646796623008</v>
      </c>
      <c r="AC62">
        <f t="shared" si="6"/>
        <v>6995.1534651726379</v>
      </c>
      <c r="AD62">
        <f t="shared" si="7"/>
        <v>1618.8783733685245</v>
      </c>
      <c r="AE62">
        <f t="shared" si="8"/>
        <v>199.29049464042859</v>
      </c>
      <c r="AH62">
        <f t="shared" si="19"/>
        <v>2.4000000000000004</v>
      </c>
      <c r="AI62">
        <f t="shared" si="9"/>
        <v>0</v>
      </c>
      <c r="AJ62">
        <f t="shared" si="10"/>
        <v>0</v>
      </c>
      <c r="AK62">
        <f t="shared" si="11"/>
        <v>0</v>
      </c>
      <c r="AM62">
        <f t="shared" si="12"/>
        <v>0</v>
      </c>
      <c r="AN62">
        <f t="shared" si="13"/>
        <v>0</v>
      </c>
      <c r="AO62">
        <f t="shared" si="14"/>
        <v>0</v>
      </c>
      <c r="AP62">
        <f t="shared" si="20"/>
        <v>0</v>
      </c>
      <c r="AQ62">
        <f t="shared" si="21"/>
        <v>0</v>
      </c>
      <c r="AR62">
        <f t="shared" si="15"/>
        <v>0</v>
      </c>
    </row>
    <row r="63" spans="9:44" x14ac:dyDescent="0.25">
      <c r="I63">
        <v>60</v>
      </c>
      <c r="J63">
        <v>5</v>
      </c>
      <c r="K63">
        <v>12</v>
      </c>
      <c r="L63">
        <v>5</v>
      </c>
      <c r="M63">
        <v>12</v>
      </c>
      <c r="N63">
        <f t="shared" si="16"/>
        <v>5</v>
      </c>
      <c r="O63">
        <f t="shared" si="17"/>
        <v>1.1859512267301475E-2</v>
      </c>
      <c r="P63">
        <f t="shared" si="18"/>
        <v>2.8198935658622026E-2</v>
      </c>
      <c r="Q63">
        <v>60</v>
      </c>
      <c r="R63" t="str">
        <v>submerged</v>
      </c>
      <c r="S63" t="str">
        <v>brace</v>
      </c>
      <c r="T63">
        <v>8.8757837400423387</v>
      </c>
      <c r="U63">
        <v>0.8</v>
      </c>
      <c r="V63">
        <v>0.02</v>
      </c>
      <c r="W63">
        <v>3414.6865177099689</v>
      </c>
      <c r="X63" t="str">
        <v>L2</v>
      </c>
      <c r="Z63">
        <f t="shared" si="3"/>
        <v>6.4757837400423384</v>
      </c>
      <c r="AA63">
        <f t="shared" si="4"/>
        <v>4.9008845396000866E-2</v>
      </c>
      <c r="AB63">
        <f t="shared" si="5"/>
        <v>2491.3598704493188</v>
      </c>
      <c r="AC63">
        <f t="shared" si="6"/>
        <v>6103.8316826008313</v>
      </c>
      <c r="AD63">
        <f t="shared" si="7"/>
        <v>1412.6010465447637</v>
      </c>
      <c r="AE63">
        <f t="shared" si="8"/>
        <v>173.89691895736246</v>
      </c>
      <c r="AH63">
        <f t="shared" si="19"/>
        <v>2.4000000000000004</v>
      </c>
      <c r="AI63">
        <f t="shared" si="9"/>
        <v>0</v>
      </c>
      <c r="AJ63">
        <f t="shared" si="10"/>
        <v>0</v>
      </c>
      <c r="AK63">
        <f t="shared" si="11"/>
        <v>0</v>
      </c>
      <c r="AM63">
        <f t="shared" si="12"/>
        <v>0</v>
      </c>
      <c r="AN63">
        <f t="shared" si="13"/>
        <v>0</v>
      </c>
      <c r="AO63">
        <f t="shared" si="14"/>
        <v>0</v>
      </c>
      <c r="AP63">
        <f t="shared" si="20"/>
        <v>0</v>
      </c>
      <c r="AQ63">
        <f t="shared" si="21"/>
        <v>0</v>
      </c>
      <c r="AR63">
        <f t="shared" si="15"/>
        <v>0</v>
      </c>
    </row>
    <row r="64" spans="9:44" x14ac:dyDescent="0.25">
      <c r="I64">
        <v>61</v>
      </c>
      <c r="J64">
        <v>5</v>
      </c>
      <c r="K64">
        <v>12</v>
      </c>
      <c r="L64">
        <v>5</v>
      </c>
      <c r="M64">
        <v>12</v>
      </c>
      <c r="N64">
        <f t="shared" si="16"/>
        <v>5</v>
      </c>
      <c r="O64">
        <f t="shared" si="17"/>
        <v>1.1859512267301475E-2</v>
      </c>
      <c r="P64">
        <f t="shared" si="18"/>
        <v>2.8198935658622026E-2</v>
      </c>
      <c r="Q64">
        <v>61</v>
      </c>
      <c r="R64" t="str">
        <v>submerged</v>
      </c>
      <c r="S64" t="str">
        <v>brace</v>
      </c>
      <c r="T64">
        <v>9.8214204166199934</v>
      </c>
      <c r="U64">
        <v>0.8</v>
      </c>
      <c r="V64">
        <v>0.02</v>
      </c>
      <c r="W64">
        <v>3778.4913269229501</v>
      </c>
      <c r="X64" t="str">
        <v>L2</v>
      </c>
      <c r="Z64">
        <f t="shared" si="3"/>
        <v>7.4214204166199931</v>
      </c>
      <c r="AA64">
        <f t="shared" si="4"/>
        <v>4.9008845396000866E-2</v>
      </c>
      <c r="AB64">
        <f t="shared" si="5"/>
        <v>2855.1646796623008</v>
      </c>
      <c r="AC64">
        <f t="shared" si="6"/>
        <v>6995.1534651726379</v>
      </c>
      <c r="AD64">
        <f t="shared" si="7"/>
        <v>1618.8783733685245</v>
      </c>
      <c r="AE64">
        <f t="shared" si="8"/>
        <v>199.29049464042859</v>
      </c>
      <c r="AH64">
        <f t="shared" si="19"/>
        <v>2.4000000000000004</v>
      </c>
      <c r="AI64">
        <f t="shared" si="9"/>
        <v>0</v>
      </c>
      <c r="AJ64">
        <f t="shared" si="10"/>
        <v>0</v>
      </c>
      <c r="AK64">
        <f t="shared" si="11"/>
        <v>0</v>
      </c>
      <c r="AM64">
        <f t="shared" si="12"/>
        <v>0</v>
      </c>
      <c r="AN64">
        <f t="shared" si="13"/>
        <v>0</v>
      </c>
      <c r="AO64">
        <f t="shared" si="14"/>
        <v>0</v>
      </c>
      <c r="AP64">
        <f t="shared" si="20"/>
        <v>0</v>
      </c>
      <c r="AQ64">
        <f t="shared" si="21"/>
        <v>0</v>
      </c>
      <c r="AR64">
        <f t="shared" si="15"/>
        <v>0</v>
      </c>
    </row>
    <row r="65" spans="9:44" x14ac:dyDescent="0.25">
      <c r="I65">
        <v>62</v>
      </c>
      <c r="J65">
        <v>5</v>
      </c>
      <c r="K65">
        <v>12</v>
      </c>
      <c r="L65">
        <v>5</v>
      </c>
      <c r="M65">
        <v>12</v>
      </c>
      <c r="N65">
        <f t="shared" si="16"/>
        <v>5</v>
      </c>
      <c r="O65">
        <f t="shared" si="17"/>
        <v>1.1859512267301475E-2</v>
      </c>
      <c r="P65">
        <f t="shared" si="18"/>
        <v>2.8198935658622026E-2</v>
      </c>
      <c r="Q65">
        <v>62</v>
      </c>
      <c r="R65" t="str">
        <v>submerged</v>
      </c>
      <c r="S65" t="str">
        <v>brace</v>
      </c>
      <c r="T65">
        <v>8.8757837400423387</v>
      </c>
      <c r="U65">
        <v>0.8</v>
      </c>
      <c r="V65">
        <v>0.02</v>
      </c>
      <c r="W65">
        <v>3414.6865177099689</v>
      </c>
      <c r="X65" t="str">
        <v>L2</v>
      </c>
      <c r="Z65">
        <f t="shared" si="3"/>
        <v>6.4757837400423384</v>
      </c>
      <c r="AA65">
        <f t="shared" si="4"/>
        <v>4.9008845396000866E-2</v>
      </c>
      <c r="AB65">
        <f t="shared" si="5"/>
        <v>2491.3598704493188</v>
      </c>
      <c r="AC65">
        <f t="shared" si="6"/>
        <v>6103.8316826008313</v>
      </c>
      <c r="AD65">
        <f t="shared" si="7"/>
        <v>1412.6010465447637</v>
      </c>
      <c r="AE65">
        <f t="shared" si="8"/>
        <v>173.89691895736246</v>
      </c>
      <c r="AH65">
        <f t="shared" si="19"/>
        <v>2.4000000000000004</v>
      </c>
      <c r="AI65">
        <f t="shared" si="9"/>
        <v>0</v>
      </c>
      <c r="AJ65">
        <f t="shared" si="10"/>
        <v>0</v>
      </c>
      <c r="AK65">
        <f t="shared" si="11"/>
        <v>0</v>
      </c>
      <c r="AM65">
        <f t="shared" si="12"/>
        <v>0</v>
      </c>
      <c r="AN65">
        <f t="shared" si="13"/>
        <v>0</v>
      </c>
      <c r="AO65">
        <f t="shared" si="14"/>
        <v>0</v>
      </c>
      <c r="AP65">
        <f t="shared" si="20"/>
        <v>0</v>
      </c>
      <c r="AQ65">
        <f t="shared" si="21"/>
        <v>0</v>
      </c>
      <c r="AR65">
        <f t="shared" si="15"/>
        <v>0</v>
      </c>
    </row>
    <row r="66" spans="9:44" x14ac:dyDescent="0.25">
      <c r="I66">
        <v>63</v>
      </c>
      <c r="J66">
        <v>5</v>
      </c>
      <c r="K66">
        <v>12</v>
      </c>
      <c r="L66">
        <v>5</v>
      </c>
      <c r="M66">
        <v>12</v>
      </c>
      <c r="N66">
        <f t="shared" si="16"/>
        <v>5</v>
      </c>
      <c r="O66">
        <f t="shared" si="17"/>
        <v>1.1859512267301475E-2</v>
      </c>
      <c r="P66">
        <f t="shared" si="18"/>
        <v>2.8198935658622026E-2</v>
      </c>
      <c r="Q66">
        <v>63</v>
      </c>
      <c r="R66" t="str">
        <v>submerged</v>
      </c>
      <c r="S66" t="str">
        <v>brace</v>
      </c>
      <c r="T66">
        <v>9.8214204166199934</v>
      </c>
      <c r="U66">
        <v>0.8</v>
      </c>
      <c r="V66">
        <v>0.02</v>
      </c>
      <c r="W66">
        <v>3778.4913269229501</v>
      </c>
      <c r="X66" t="str">
        <v>L2</v>
      </c>
      <c r="Z66">
        <f t="shared" si="3"/>
        <v>7.4214204166199931</v>
      </c>
      <c r="AA66">
        <f t="shared" si="4"/>
        <v>4.9008845396000866E-2</v>
      </c>
      <c r="AB66">
        <f t="shared" si="5"/>
        <v>2855.1646796623008</v>
      </c>
      <c r="AC66">
        <f t="shared" si="6"/>
        <v>6995.1534651726379</v>
      </c>
      <c r="AD66">
        <f t="shared" si="7"/>
        <v>1618.8783733685245</v>
      </c>
      <c r="AE66">
        <f t="shared" si="8"/>
        <v>199.29049464042859</v>
      </c>
      <c r="AH66">
        <f t="shared" si="19"/>
        <v>2.4000000000000004</v>
      </c>
      <c r="AI66">
        <f t="shared" si="9"/>
        <v>0</v>
      </c>
      <c r="AJ66">
        <f t="shared" si="10"/>
        <v>0</v>
      </c>
      <c r="AK66">
        <f t="shared" si="11"/>
        <v>0</v>
      </c>
      <c r="AM66">
        <f t="shared" si="12"/>
        <v>0</v>
      </c>
      <c r="AN66">
        <f t="shared" si="13"/>
        <v>0</v>
      </c>
      <c r="AO66">
        <f t="shared" si="14"/>
        <v>0</v>
      </c>
      <c r="AP66">
        <f t="shared" si="20"/>
        <v>0</v>
      </c>
      <c r="AQ66">
        <f t="shared" si="21"/>
        <v>0</v>
      </c>
      <c r="AR66">
        <f t="shared" si="15"/>
        <v>0</v>
      </c>
    </row>
    <row r="67" spans="9:44" x14ac:dyDescent="0.25">
      <c r="I67">
        <v>64</v>
      </c>
      <c r="J67">
        <v>5</v>
      </c>
      <c r="K67">
        <v>12</v>
      </c>
      <c r="L67">
        <v>5</v>
      </c>
      <c r="M67">
        <v>12</v>
      </c>
      <c r="N67">
        <f t="shared" si="16"/>
        <v>5</v>
      </c>
      <c r="O67">
        <f t="shared" si="17"/>
        <v>1.1859512267301475E-2</v>
      </c>
      <c r="P67">
        <f t="shared" si="18"/>
        <v>2.8198935658622026E-2</v>
      </c>
      <c r="Q67">
        <v>64</v>
      </c>
      <c r="R67" t="str">
        <v>submerged</v>
      </c>
      <c r="S67" t="str">
        <v>brace</v>
      </c>
      <c r="T67">
        <v>8.8757837400423387</v>
      </c>
      <c r="U67">
        <v>0.8</v>
      </c>
      <c r="V67">
        <v>0.02</v>
      </c>
      <c r="W67">
        <v>3414.6865177099689</v>
      </c>
      <c r="X67" t="str">
        <v>L2</v>
      </c>
      <c r="Z67">
        <f t="shared" si="3"/>
        <v>6.4757837400423384</v>
      </c>
      <c r="AA67">
        <f t="shared" si="4"/>
        <v>4.9008845396000866E-2</v>
      </c>
      <c r="AB67">
        <f t="shared" si="5"/>
        <v>2491.3598704493188</v>
      </c>
      <c r="AC67">
        <f t="shared" si="6"/>
        <v>6103.8316826008313</v>
      </c>
      <c r="AD67">
        <f t="shared" si="7"/>
        <v>1412.6010465447637</v>
      </c>
      <c r="AE67">
        <f t="shared" si="8"/>
        <v>173.89691895736246</v>
      </c>
      <c r="AH67">
        <f t="shared" si="19"/>
        <v>2.4000000000000004</v>
      </c>
      <c r="AI67">
        <f t="shared" si="9"/>
        <v>0</v>
      </c>
      <c r="AJ67">
        <f t="shared" si="10"/>
        <v>0</v>
      </c>
      <c r="AK67">
        <f t="shared" si="11"/>
        <v>0</v>
      </c>
      <c r="AM67">
        <f t="shared" si="12"/>
        <v>0</v>
      </c>
      <c r="AN67">
        <f t="shared" si="13"/>
        <v>0</v>
      </c>
      <c r="AO67">
        <f t="shared" si="14"/>
        <v>0</v>
      </c>
      <c r="AP67">
        <f t="shared" si="20"/>
        <v>0</v>
      </c>
      <c r="AQ67">
        <f t="shared" si="21"/>
        <v>0</v>
      </c>
      <c r="AR67">
        <f t="shared" si="15"/>
        <v>0</v>
      </c>
    </row>
    <row r="68" spans="9:44" x14ac:dyDescent="0.25">
      <c r="I68">
        <v>65</v>
      </c>
      <c r="J68">
        <v>5</v>
      </c>
      <c r="K68">
        <v>12</v>
      </c>
      <c r="L68">
        <v>5</v>
      </c>
      <c r="M68">
        <v>12</v>
      </c>
      <c r="N68">
        <f t="shared" si="16"/>
        <v>5</v>
      </c>
      <c r="O68">
        <f t="shared" si="17"/>
        <v>1.1859512267301475E-2</v>
      </c>
      <c r="P68">
        <f t="shared" si="18"/>
        <v>2.8198935658622026E-2</v>
      </c>
      <c r="Q68">
        <v>65</v>
      </c>
      <c r="R68" t="str">
        <v>submerged</v>
      </c>
      <c r="S68" t="str">
        <v>brace</v>
      </c>
      <c r="T68">
        <v>9.8214204166199934</v>
      </c>
      <c r="U68">
        <v>0.8</v>
      </c>
      <c r="V68">
        <v>0.02</v>
      </c>
      <c r="W68">
        <v>3778.4913269229501</v>
      </c>
      <c r="X68" t="str">
        <v>L2</v>
      </c>
      <c r="Z68">
        <f t="shared" si="3"/>
        <v>7.4214204166199931</v>
      </c>
      <c r="AA68">
        <f t="shared" si="4"/>
        <v>4.9008845396000866E-2</v>
      </c>
      <c r="AB68">
        <f t="shared" si="5"/>
        <v>2855.1646796623008</v>
      </c>
      <c r="AC68">
        <f t="shared" si="6"/>
        <v>6995.1534651726379</v>
      </c>
      <c r="AD68">
        <f t="shared" si="7"/>
        <v>1618.8783733685245</v>
      </c>
      <c r="AE68">
        <f t="shared" si="8"/>
        <v>199.29049464042859</v>
      </c>
      <c r="AH68">
        <f t="shared" ref="AH68:AH97" si="22">IF(Z68=0,T68,T68-Z68)</f>
        <v>2.4000000000000004</v>
      </c>
      <c r="AI68">
        <f t="shared" si="9"/>
        <v>0</v>
      </c>
      <c r="AJ68">
        <f t="shared" si="10"/>
        <v>0</v>
      </c>
      <c r="AK68">
        <f t="shared" si="11"/>
        <v>0</v>
      </c>
      <c r="AM68">
        <f t="shared" si="12"/>
        <v>0</v>
      </c>
      <c r="AN68">
        <f t="shared" si="13"/>
        <v>0</v>
      </c>
      <c r="AO68">
        <f t="shared" si="14"/>
        <v>0</v>
      </c>
      <c r="AP68">
        <f t="shared" ref="AP68:AP99" si="23">AK68*$D$13</f>
        <v>0</v>
      </c>
      <c r="AQ68">
        <f t="shared" ref="AQ68:AQ99" si="24">AK68*$D$14</f>
        <v>0</v>
      </c>
      <c r="AR68">
        <f t="shared" si="15"/>
        <v>0</v>
      </c>
    </row>
    <row r="69" spans="9:44" x14ac:dyDescent="0.25">
      <c r="I69">
        <v>66</v>
      </c>
      <c r="J69">
        <v>5</v>
      </c>
      <c r="K69">
        <v>12</v>
      </c>
      <c r="L69">
        <v>5</v>
      </c>
      <c r="M69">
        <v>12</v>
      </c>
      <c r="N69">
        <f t="shared" si="16"/>
        <v>5</v>
      </c>
      <c r="O69">
        <f t="shared" si="17"/>
        <v>1.1859512267301475E-2</v>
      </c>
      <c r="P69">
        <f t="shared" si="18"/>
        <v>2.8198935658622026E-2</v>
      </c>
      <c r="Q69">
        <v>66</v>
      </c>
      <c r="R69" t="str">
        <v>submerged</v>
      </c>
      <c r="S69" t="str">
        <v>brace</v>
      </c>
      <c r="T69">
        <v>8.8757837400423387</v>
      </c>
      <c r="U69">
        <v>0.8</v>
      </c>
      <c r="V69">
        <v>0.02</v>
      </c>
      <c r="W69">
        <v>3414.6865177099689</v>
      </c>
      <c r="X69" t="str">
        <v>L2</v>
      </c>
      <c r="Z69">
        <f t="shared" ref="Z69:Z97" si="25">IF(ISBLANK(Y69),IF(T69&gt;6,IF(S69="leg",T69-$D$4,T69-$D$5),0),Y69)</f>
        <v>6.4757837400423384</v>
      </c>
      <c r="AA69">
        <f t="shared" ref="AA69:AA97" si="26">IF(R69="splash",(PI()/4*(U69^2-(U69-2*(V69-$D$11*IF(S69="leg",$D$9,$D$10)))^2)),(PI()/4*(U69^2-(U69-2*(V69))^2)))</f>
        <v>4.9008845396000866E-2</v>
      </c>
      <c r="AB69">
        <f t="shared" ref="AB69:AB97" si="27">AA69*Z69*$D$7</f>
        <v>2491.3598704493188</v>
      </c>
      <c r="AC69">
        <f t="shared" ref="AC69:AC97" si="28">AB69*$D$13</f>
        <v>6103.8316826008313</v>
      </c>
      <c r="AD69">
        <f t="shared" ref="AD69:AD97" si="29">AB69*$D$14</f>
        <v>1412.6010465447637</v>
      </c>
      <c r="AE69">
        <f t="shared" ref="AE69:AE97" si="30">AB69*$D$15</f>
        <v>173.89691895736246</v>
      </c>
      <c r="AH69">
        <f t="shared" si="22"/>
        <v>2.4000000000000004</v>
      </c>
      <c r="AI69">
        <f t="shared" ref="AI69:AI97" si="31">IF(S69="leg",AH69*AA69*$D$7,0)</f>
        <v>0</v>
      </c>
      <c r="AJ69">
        <f t="shared" ref="AJ69:AJ97" si="32">IF(S69="leg",IF(Z69=0,AI69,AI69+O69*$D$7*AH69),0)</f>
        <v>0</v>
      </c>
      <c r="AK69">
        <f t="shared" ref="AK69:AK97" si="33">IF(S69="leg",IF(Z69=0,AI69,AI69+P69*$D$7*AH69),0)</f>
        <v>0</v>
      </c>
      <c r="AM69">
        <f t="shared" ref="AM69:AM97" si="34">AJ69*$D$13</f>
        <v>0</v>
      </c>
      <c r="AN69">
        <f t="shared" ref="AN69:AN97" si="35">AJ69*$D$14</f>
        <v>0</v>
      </c>
      <c r="AO69">
        <f t="shared" ref="AO69:AO107" si="36">AJ69*$D$15</f>
        <v>0</v>
      </c>
      <c r="AP69">
        <f t="shared" si="23"/>
        <v>0</v>
      </c>
      <c r="AQ69">
        <f t="shared" si="24"/>
        <v>0</v>
      </c>
      <c r="AR69">
        <f t="shared" ref="AR69:AR107" si="37">AK69*$D$15</f>
        <v>0</v>
      </c>
    </row>
    <row r="70" spans="9:44" x14ac:dyDescent="0.25">
      <c r="I70">
        <v>67</v>
      </c>
      <c r="J70">
        <v>5</v>
      </c>
      <c r="K70">
        <v>12</v>
      </c>
      <c r="L70">
        <v>5</v>
      </c>
      <c r="M70">
        <v>12</v>
      </c>
      <c r="N70">
        <f t="shared" ref="N70:N103" si="38">AVERAGE(J70,L70)</f>
        <v>5</v>
      </c>
      <c r="O70">
        <f t="shared" ref="O70:O107" si="39">(PI()/4*(U70-2*V70)^2)-(PI()/4*(U70-2*V70-2*N70*0.001)^2)</f>
        <v>1.1859512267301475E-2</v>
      </c>
      <c r="P70">
        <f t="shared" ref="P70:P107" si="40">(PI()/4*(U70-2*V70)^2)-(PI()/4*(U70-2*V70-2*M70*0.001)^2)</f>
        <v>2.8198935658622026E-2</v>
      </c>
      <c r="Q70">
        <v>67</v>
      </c>
      <c r="R70" t="str">
        <v>submerged</v>
      </c>
      <c r="S70" t="str">
        <v>brace</v>
      </c>
      <c r="T70">
        <v>9.8214204166199934</v>
      </c>
      <c r="U70">
        <v>0.8</v>
      </c>
      <c r="V70">
        <v>0.02</v>
      </c>
      <c r="W70">
        <v>3778.4913269229501</v>
      </c>
      <c r="X70" t="str">
        <v>L2</v>
      </c>
      <c r="Z70">
        <f t="shared" si="25"/>
        <v>7.4214204166199931</v>
      </c>
      <c r="AA70">
        <f t="shared" si="26"/>
        <v>4.9008845396000866E-2</v>
      </c>
      <c r="AB70">
        <f t="shared" si="27"/>
        <v>2855.1646796623008</v>
      </c>
      <c r="AC70">
        <f t="shared" si="28"/>
        <v>6995.1534651726379</v>
      </c>
      <c r="AD70">
        <f t="shared" si="29"/>
        <v>1618.8783733685245</v>
      </c>
      <c r="AE70">
        <f t="shared" si="30"/>
        <v>199.29049464042859</v>
      </c>
      <c r="AH70">
        <f t="shared" si="22"/>
        <v>2.4000000000000004</v>
      </c>
      <c r="AI70">
        <f t="shared" si="31"/>
        <v>0</v>
      </c>
      <c r="AJ70">
        <f t="shared" si="32"/>
        <v>0</v>
      </c>
      <c r="AK70">
        <f t="shared" si="33"/>
        <v>0</v>
      </c>
      <c r="AM70">
        <f t="shared" si="34"/>
        <v>0</v>
      </c>
      <c r="AN70">
        <f t="shared" si="35"/>
        <v>0</v>
      </c>
      <c r="AO70">
        <f t="shared" si="36"/>
        <v>0</v>
      </c>
      <c r="AP70">
        <f t="shared" si="23"/>
        <v>0</v>
      </c>
      <c r="AQ70">
        <f t="shared" si="24"/>
        <v>0</v>
      </c>
      <c r="AR70">
        <f t="shared" si="37"/>
        <v>0</v>
      </c>
    </row>
    <row r="71" spans="9:44" x14ac:dyDescent="0.25">
      <c r="I71">
        <v>68</v>
      </c>
      <c r="J71">
        <v>5</v>
      </c>
      <c r="K71">
        <v>12</v>
      </c>
      <c r="L71">
        <v>5</v>
      </c>
      <c r="M71">
        <v>12</v>
      </c>
      <c r="N71">
        <f t="shared" si="38"/>
        <v>5</v>
      </c>
      <c r="O71">
        <f t="shared" si="39"/>
        <v>1.1859512267301475E-2</v>
      </c>
      <c r="P71">
        <f t="shared" si="40"/>
        <v>2.8198935658622026E-2</v>
      </c>
      <c r="Q71">
        <v>68</v>
      </c>
      <c r="R71" t="str">
        <v>submerged</v>
      </c>
      <c r="S71" t="str">
        <v>brace</v>
      </c>
      <c r="T71">
        <v>8.8757837400423387</v>
      </c>
      <c r="U71">
        <v>0.8</v>
      </c>
      <c r="V71">
        <v>0.02</v>
      </c>
      <c r="W71">
        <v>3414.6865177099689</v>
      </c>
      <c r="X71" t="str">
        <v>L2</v>
      </c>
      <c r="Z71">
        <f t="shared" si="25"/>
        <v>6.4757837400423384</v>
      </c>
      <c r="AA71">
        <f t="shared" si="26"/>
        <v>4.9008845396000866E-2</v>
      </c>
      <c r="AB71">
        <f t="shared" si="27"/>
        <v>2491.3598704493188</v>
      </c>
      <c r="AC71">
        <f t="shared" si="28"/>
        <v>6103.8316826008313</v>
      </c>
      <c r="AD71">
        <f t="shared" si="29"/>
        <v>1412.6010465447637</v>
      </c>
      <c r="AE71">
        <f t="shared" si="30"/>
        <v>173.89691895736246</v>
      </c>
      <c r="AH71">
        <f t="shared" si="22"/>
        <v>2.4000000000000004</v>
      </c>
      <c r="AI71">
        <f t="shared" si="31"/>
        <v>0</v>
      </c>
      <c r="AJ71">
        <f t="shared" si="32"/>
        <v>0</v>
      </c>
      <c r="AK71">
        <f t="shared" si="33"/>
        <v>0</v>
      </c>
      <c r="AM71">
        <f t="shared" si="34"/>
        <v>0</v>
      </c>
      <c r="AN71">
        <f t="shared" si="35"/>
        <v>0</v>
      </c>
      <c r="AO71">
        <f t="shared" si="36"/>
        <v>0</v>
      </c>
      <c r="AP71">
        <f t="shared" si="23"/>
        <v>0</v>
      </c>
      <c r="AQ71">
        <f t="shared" si="24"/>
        <v>0</v>
      </c>
      <c r="AR71">
        <f t="shared" si="37"/>
        <v>0</v>
      </c>
    </row>
    <row r="72" spans="9:44" x14ac:dyDescent="0.25">
      <c r="I72">
        <v>69</v>
      </c>
      <c r="J72">
        <v>5</v>
      </c>
      <c r="K72">
        <v>12</v>
      </c>
      <c r="L72">
        <v>5</v>
      </c>
      <c r="M72">
        <v>12</v>
      </c>
      <c r="N72">
        <f t="shared" si="38"/>
        <v>5</v>
      </c>
      <c r="O72">
        <f t="shared" si="39"/>
        <v>1.1859512267301475E-2</v>
      </c>
      <c r="P72">
        <f t="shared" si="40"/>
        <v>2.8198935658622026E-2</v>
      </c>
      <c r="Q72">
        <v>69</v>
      </c>
      <c r="R72" t="str">
        <v>splash</v>
      </c>
      <c r="S72" t="str">
        <v>brace</v>
      </c>
      <c r="T72">
        <v>8.4724069779490652</v>
      </c>
      <c r="U72">
        <v>0.8</v>
      </c>
      <c r="V72">
        <v>0.02</v>
      </c>
      <c r="W72">
        <v>3259.4996371572861</v>
      </c>
      <c r="X72" t="str">
        <v>L3</v>
      </c>
      <c r="Z72">
        <f t="shared" si="25"/>
        <v>6.0724069779490648</v>
      </c>
      <c r="AA72">
        <f t="shared" si="26"/>
        <v>3.0925052683774563E-2</v>
      </c>
      <c r="AB72">
        <f t="shared" si="27"/>
        <v>1474.1476198266016</v>
      </c>
      <c r="AC72">
        <f t="shared" si="28"/>
        <v>3611.6616685751742</v>
      </c>
      <c r="AD72">
        <f t="shared" si="29"/>
        <v>835.84170044168309</v>
      </c>
      <c r="AE72">
        <f t="shared" si="30"/>
        <v>102.89550386389679</v>
      </c>
      <c r="AH72">
        <f t="shared" si="22"/>
        <v>2.4000000000000004</v>
      </c>
      <c r="AI72">
        <f t="shared" si="31"/>
        <v>0</v>
      </c>
      <c r="AJ72">
        <f t="shared" si="32"/>
        <v>0</v>
      </c>
      <c r="AK72">
        <f t="shared" si="33"/>
        <v>0</v>
      </c>
      <c r="AM72">
        <f t="shared" si="34"/>
        <v>0</v>
      </c>
      <c r="AN72">
        <f t="shared" si="35"/>
        <v>0</v>
      </c>
      <c r="AO72">
        <f t="shared" si="36"/>
        <v>0</v>
      </c>
      <c r="AP72">
        <f t="shared" si="23"/>
        <v>0</v>
      </c>
      <c r="AQ72">
        <f t="shared" si="24"/>
        <v>0</v>
      </c>
      <c r="AR72">
        <f t="shared" si="37"/>
        <v>0</v>
      </c>
    </row>
    <row r="73" spans="9:44" x14ac:dyDescent="0.25">
      <c r="I73">
        <v>70</v>
      </c>
      <c r="J73">
        <v>5</v>
      </c>
      <c r="K73">
        <v>12</v>
      </c>
      <c r="L73">
        <v>5</v>
      </c>
      <c r="M73">
        <v>12</v>
      </c>
      <c r="N73">
        <f t="shared" si="38"/>
        <v>5</v>
      </c>
      <c r="O73">
        <f t="shared" si="39"/>
        <v>1.1859512267301475E-2</v>
      </c>
      <c r="P73">
        <f t="shared" si="40"/>
        <v>2.8198935658622026E-2</v>
      </c>
      <c r="Q73">
        <v>70</v>
      </c>
      <c r="R73" t="str">
        <v>splash</v>
      </c>
      <c r="S73" t="str">
        <v>brace</v>
      </c>
      <c r="T73">
        <v>7.7081755299162724</v>
      </c>
      <c r="U73">
        <v>0.8</v>
      </c>
      <c r="V73">
        <v>0.02</v>
      </c>
      <c r="W73">
        <v>2965.4849452225881</v>
      </c>
      <c r="X73" t="str">
        <v>L3</v>
      </c>
      <c r="Z73">
        <f t="shared" si="25"/>
        <v>5.308175529916273</v>
      </c>
      <c r="AA73">
        <f t="shared" si="26"/>
        <v>3.0925052683774563E-2</v>
      </c>
      <c r="AB73">
        <f t="shared" si="27"/>
        <v>1288.6215221514622</v>
      </c>
      <c r="AC73">
        <f t="shared" si="28"/>
        <v>3157.1227292710823</v>
      </c>
      <c r="AD73">
        <f t="shared" si="29"/>
        <v>730.648403059879</v>
      </c>
      <c r="AE73">
        <f t="shared" si="30"/>
        <v>89.945782246172058</v>
      </c>
      <c r="AH73">
        <f t="shared" si="22"/>
        <v>2.3999999999999995</v>
      </c>
      <c r="AI73">
        <f t="shared" si="31"/>
        <v>0</v>
      </c>
      <c r="AJ73">
        <f t="shared" si="32"/>
        <v>0</v>
      </c>
      <c r="AK73">
        <f t="shared" si="33"/>
        <v>0</v>
      </c>
      <c r="AM73">
        <f t="shared" si="34"/>
        <v>0</v>
      </c>
      <c r="AN73">
        <f t="shared" si="35"/>
        <v>0</v>
      </c>
      <c r="AO73">
        <f t="shared" si="36"/>
        <v>0</v>
      </c>
      <c r="AP73">
        <f t="shared" si="23"/>
        <v>0</v>
      </c>
      <c r="AQ73">
        <f t="shared" si="24"/>
        <v>0</v>
      </c>
      <c r="AR73">
        <f t="shared" si="37"/>
        <v>0</v>
      </c>
    </row>
    <row r="74" spans="9:44" x14ac:dyDescent="0.25">
      <c r="I74">
        <v>71</v>
      </c>
      <c r="J74">
        <v>5</v>
      </c>
      <c r="K74">
        <v>12</v>
      </c>
      <c r="L74">
        <v>5</v>
      </c>
      <c r="M74">
        <v>12</v>
      </c>
      <c r="N74">
        <f t="shared" si="38"/>
        <v>5</v>
      </c>
      <c r="O74">
        <f t="shared" si="39"/>
        <v>1.1859512267301475E-2</v>
      </c>
      <c r="P74">
        <f t="shared" si="40"/>
        <v>2.8198935658622026E-2</v>
      </c>
      <c r="Q74">
        <v>71</v>
      </c>
      <c r="R74" t="str">
        <v>splash</v>
      </c>
      <c r="S74" t="str">
        <v>brace</v>
      </c>
      <c r="T74">
        <v>8.4724069779490652</v>
      </c>
      <c r="U74">
        <v>0.8</v>
      </c>
      <c r="V74">
        <v>0.02</v>
      </c>
      <c r="W74">
        <v>3259.4996371572861</v>
      </c>
      <c r="X74" t="str">
        <v>L3</v>
      </c>
      <c r="Z74">
        <f t="shared" si="25"/>
        <v>6.0724069779490648</v>
      </c>
      <c r="AA74">
        <f t="shared" si="26"/>
        <v>3.0925052683774563E-2</v>
      </c>
      <c r="AB74">
        <f t="shared" si="27"/>
        <v>1474.1476198266016</v>
      </c>
      <c r="AC74">
        <f t="shared" si="28"/>
        <v>3611.6616685751742</v>
      </c>
      <c r="AD74">
        <f t="shared" si="29"/>
        <v>835.84170044168309</v>
      </c>
      <c r="AE74">
        <f t="shared" si="30"/>
        <v>102.89550386389679</v>
      </c>
      <c r="AH74">
        <f t="shared" si="22"/>
        <v>2.4000000000000004</v>
      </c>
      <c r="AI74">
        <f t="shared" si="31"/>
        <v>0</v>
      </c>
      <c r="AJ74">
        <f t="shared" si="32"/>
        <v>0</v>
      </c>
      <c r="AK74">
        <f t="shared" si="33"/>
        <v>0</v>
      </c>
      <c r="AM74">
        <f t="shared" si="34"/>
        <v>0</v>
      </c>
      <c r="AN74">
        <f t="shared" si="35"/>
        <v>0</v>
      </c>
      <c r="AO74">
        <f t="shared" si="36"/>
        <v>0</v>
      </c>
      <c r="AP74">
        <f t="shared" si="23"/>
        <v>0</v>
      </c>
      <c r="AQ74">
        <f t="shared" si="24"/>
        <v>0</v>
      </c>
      <c r="AR74">
        <f t="shared" si="37"/>
        <v>0</v>
      </c>
    </row>
    <row r="75" spans="9:44" x14ac:dyDescent="0.25">
      <c r="I75">
        <v>72</v>
      </c>
      <c r="J75">
        <v>5</v>
      </c>
      <c r="K75">
        <v>12</v>
      </c>
      <c r="L75">
        <v>5</v>
      </c>
      <c r="M75">
        <v>12</v>
      </c>
      <c r="N75">
        <f t="shared" si="38"/>
        <v>5</v>
      </c>
      <c r="O75">
        <f t="shared" si="39"/>
        <v>1.1859512267301475E-2</v>
      </c>
      <c r="P75">
        <f t="shared" si="40"/>
        <v>2.8198935658622026E-2</v>
      </c>
      <c r="Q75">
        <v>72</v>
      </c>
      <c r="R75" t="str">
        <v>splash</v>
      </c>
      <c r="S75" t="str">
        <v>brace</v>
      </c>
      <c r="T75">
        <v>7.7081755299162724</v>
      </c>
      <c r="U75">
        <v>0.8</v>
      </c>
      <c r="V75">
        <v>0.02</v>
      </c>
      <c r="W75">
        <v>2965.4849452225881</v>
      </c>
      <c r="X75" t="str">
        <v>L3</v>
      </c>
      <c r="Z75">
        <f t="shared" si="25"/>
        <v>5.308175529916273</v>
      </c>
      <c r="AA75">
        <f t="shared" si="26"/>
        <v>3.0925052683774563E-2</v>
      </c>
      <c r="AB75">
        <f t="shared" si="27"/>
        <v>1288.6215221514622</v>
      </c>
      <c r="AC75">
        <f t="shared" si="28"/>
        <v>3157.1227292710823</v>
      </c>
      <c r="AD75">
        <f t="shared" si="29"/>
        <v>730.648403059879</v>
      </c>
      <c r="AE75">
        <f t="shared" si="30"/>
        <v>89.945782246172058</v>
      </c>
      <c r="AH75">
        <f t="shared" si="22"/>
        <v>2.3999999999999995</v>
      </c>
      <c r="AI75">
        <f t="shared" si="31"/>
        <v>0</v>
      </c>
      <c r="AJ75">
        <f t="shared" si="32"/>
        <v>0</v>
      </c>
      <c r="AK75">
        <f t="shared" si="33"/>
        <v>0</v>
      </c>
      <c r="AM75">
        <f t="shared" si="34"/>
        <v>0</v>
      </c>
      <c r="AN75">
        <f t="shared" si="35"/>
        <v>0</v>
      </c>
      <c r="AO75">
        <f t="shared" si="36"/>
        <v>0</v>
      </c>
      <c r="AP75">
        <f t="shared" si="23"/>
        <v>0</v>
      </c>
      <c r="AQ75">
        <f t="shared" si="24"/>
        <v>0</v>
      </c>
      <c r="AR75">
        <f t="shared" si="37"/>
        <v>0</v>
      </c>
    </row>
    <row r="76" spans="9:44" x14ac:dyDescent="0.25">
      <c r="I76">
        <v>73</v>
      </c>
      <c r="J76">
        <v>5</v>
      </c>
      <c r="K76">
        <v>12</v>
      </c>
      <c r="L76">
        <v>5</v>
      </c>
      <c r="M76">
        <v>12</v>
      </c>
      <c r="N76">
        <f t="shared" si="38"/>
        <v>5</v>
      </c>
      <c r="O76">
        <f t="shared" si="39"/>
        <v>1.1859512267301475E-2</v>
      </c>
      <c r="P76">
        <f t="shared" si="40"/>
        <v>2.8198935658622026E-2</v>
      </c>
      <c r="Q76">
        <v>73</v>
      </c>
      <c r="R76" t="str">
        <v>splash</v>
      </c>
      <c r="S76" t="str">
        <v>brace</v>
      </c>
      <c r="T76">
        <v>8.4724069779490652</v>
      </c>
      <c r="U76">
        <v>0.8</v>
      </c>
      <c r="V76">
        <v>0.02</v>
      </c>
      <c r="W76">
        <v>3259.4996371572861</v>
      </c>
      <c r="X76" t="str">
        <v>L3</v>
      </c>
      <c r="Z76">
        <f t="shared" si="25"/>
        <v>6.0724069779490648</v>
      </c>
      <c r="AA76">
        <f t="shared" si="26"/>
        <v>3.0925052683774563E-2</v>
      </c>
      <c r="AB76">
        <f t="shared" si="27"/>
        <v>1474.1476198266016</v>
      </c>
      <c r="AC76">
        <f t="shared" si="28"/>
        <v>3611.6616685751742</v>
      </c>
      <c r="AD76">
        <f t="shared" si="29"/>
        <v>835.84170044168309</v>
      </c>
      <c r="AE76">
        <f t="shared" si="30"/>
        <v>102.89550386389679</v>
      </c>
      <c r="AH76">
        <f t="shared" si="22"/>
        <v>2.4000000000000004</v>
      </c>
      <c r="AI76">
        <f t="shared" si="31"/>
        <v>0</v>
      </c>
      <c r="AJ76">
        <f t="shared" si="32"/>
        <v>0</v>
      </c>
      <c r="AK76">
        <f t="shared" si="33"/>
        <v>0</v>
      </c>
      <c r="AM76">
        <f t="shared" si="34"/>
        <v>0</v>
      </c>
      <c r="AN76">
        <f t="shared" si="35"/>
        <v>0</v>
      </c>
      <c r="AO76">
        <f t="shared" si="36"/>
        <v>0</v>
      </c>
      <c r="AP76">
        <f t="shared" si="23"/>
        <v>0</v>
      </c>
      <c r="AQ76">
        <f t="shared" si="24"/>
        <v>0</v>
      </c>
      <c r="AR76">
        <f t="shared" si="37"/>
        <v>0</v>
      </c>
    </row>
    <row r="77" spans="9:44" x14ac:dyDescent="0.25">
      <c r="I77">
        <v>74</v>
      </c>
      <c r="J77">
        <v>5</v>
      </c>
      <c r="K77">
        <v>12</v>
      </c>
      <c r="L77">
        <v>5</v>
      </c>
      <c r="M77">
        <v>12</v>
      </c>
      <c r="N77">
        <f t="shared" si="38"/>
        <v>5</v>
      </c>
      <c r="O77">
        <f t="shared" si="39"/>
        <v>1.1859512267301475E-2</v>
      </c>
      <c r="P77">
        <f t="shared" si="40"/>
        <v>2.8198935658622026E-2</v>
      </c>
      <c r="Q77">
        <v>74</v>
      </c>
      <c r="R77" t="str">
        <v>splash</v>
      </c>
      <c r="S77" t="str">
        <v>brace</v>
      </c>
      <c r="T77">
        <v>7.7081755299162724</v>
      </c>
      <c r="U77">
        <v>0.8</v>
      </c>
      <c r="V77">
        <v>0.02</v>
      </c>
      <c r="W77">
        <v>2965.4849452225881</v>
      </c>
      <c r="X77" t="str">
        <v>L3</v>
      </c>
      <c r="Z77">
        <f t="shared" si="25"/>
        <v>5.308175529916273</v>
      </c>
      <c r="AA77">
        <f t="shared" si="26"/>
        <v>3.0925052683774563E-2</v>
      </c>
      <c r="AB77">
        <f t="shared" si="27"/>
        <v>1288.6215221514622</v>
      </c>
      <c r="AC77">
        <f t="shared" si="28"/>
        <v>3157.1227292710823</v>
      </c>
      <c r="AD77">
        <f t="shared" si="29"/>
        <v>730.648403059879</v>
      </c>
      <c r="AE77">
        <f t="shared" si="30"/>
        <v>89.945782246172058</v>
      </c>
      <c r="AH77">
        <f t="shared" si="22"/>
        <v>2.3999999999999995</v>
      </c>
      <c r="AI77">
        <f t="shared" si="31"/>
        <v>0</v>
      </c>
      <c r="AJ77">
        <f t="shared" si="32"/>
        <v>0</v>
      </c>
      <c r="AK77">
        <f t="shared" si="33"/>
        <v>0</v>
      </c>
      <c r="AM77">
        <f t="shared" si="34"/>
        <v>0</v>
      </c>
      <c r="AN77">
        <f t="shared" si="35"/>
        <v>0</v>
      </c>
      <c r="AO77">
        <f t="shared" si="36"/>
        <v>0</v>
      </c>
      <c r="AP77">
        <f t="shared" si="23"/>
        <v>0</v>
      </c>
      <c r="AQ77">
        <f t="shared" si="24"/>
        <v>0</v>
      </c>
      <c r="AR77">
        <f t="shared" si="37"/>
        <v>0</v>
      </c>
    </row>
    <row r="78" spans="9:44" x14ac:dyDescent="0.25">
      <c r="I78">
        <v>75</v>
      </c>
      <c r="J78">
        <v>5</v>
      </c>
      <c r="K78">
        <v>12</v>
      </c>
      <c r="L78">
        <v>5</v>
      </c>
      <c r="M78">
        <v>12</v>
      </c>
      <c r="N78">
        <f t="shared" si="38"/>
        <v>5</v>
      </c>
      <c r="O78">
        <f t="shared" si="39"/>
        <v>1.1859512267301475E-2</v>
      </c>
      <c r="P78">
        <f t="shared" si="40"/>
        <v>2.8198935658622026E-2</v>
      </c>
      <c r="Q78">
        <v>75</v>
      </c>
      <c r="R78" t="str">
        <v>splash</v>
      </c>
      <c r="S78" t="str">
        <v>brace</v>
      </c>
      <c r="T78">
        <v>8.4724069779490652</v>
      </c>
      <c r="U78">
        <v>0.8</v>
      </c>
      <c r="V78">
        <v>0.02</v>
      </c>
      <c r="W78">
        <v>3259.4996371572861</v>
      </c>
      <c r="X78" t="str">
        <v>L3</v>
      </c>
      <c r="Z78">
        <f t="shared" si="25"/>
        <v>6.0724069779490648</v>
      </c>
      <c r="AA78">
        <f t="shared" si="26"/>
        <v>3.0925052683774563E-2</v>
      </c>
      <c r="AB78">
        <f t="shared" si="27"/>
        <v>1474.1476198266016</v>
      </c>
      <c r="AC78">
        <f t="shared" si="28"/>
        <v>3611.6616685751742</v>
      </c>
      <c r="AD78">
        <f t="shared" si="29"/>
        <v>835.84170044168309</v>
      </c>
      <c r="AE78">
        <f t="shared" si="30"/>
        <v>102.89550386389679</v>
      </c>
      <c r="AH78">
        <f t="shared" si="22"/>
        <v>2.4000000000000004</v>
      </c>
      <c r="AI78">
        <f t="shared" si="31"/>
        <v>0</v>
      </c>
      <c r="AJ78">
        <f t="shared" si="32"/>
        <v>0</v>
      </c>
      <c r="AK78">
        <f t="shared" si="33"/>
        <v>0</v>
      </c>
      <c r="AM78">
        <f t="shared" si="34"/>
        <v>0</v>
      </c>
      <c r="AN78">
        <f t="shared" si="35"/>
        <v>0</v>
      </c>
      <c r="AO78">
        <f t="shared" si="36"/>
        <v>0</v>
      </c>
      <c r="AP78">
        <f t="shared" si="23"/>
        <v>0</v>
      </c>
      <c r="AQ78">
        <f t="shared" si="24"/>
        <v>0</v>
      </c>
      <c r="AR78">
        <f t="shared" si="37"/>
        <v>0</v>
      </c>
    </row>
    <row r="79" spans="9:44" x14ac:dyDescent="0.25">
      <c r="I79">
        <v>76</v>
      </c>
      <c r="J79">
        <v>5</v>
      </c>
      <c r="K79">
        <v>12</v>
      </c>
      <c r="L79">
        <v>5</v>
      </c>
      <c r="M79">
        <v>12</v>
      </c>
      <c r="N79">
        <f t="shared" si="38"/>
        <v>5</v>
      </c>
      <c r="O79">
        <f t="shared" si="39"/>
        <v>1.1859512267301475E-2</v>
      </c>
      <c r="P79">
        <f t="shared" si="40"/>
        <v>2.8198935658622026E-2</v>
      </c>
      <c r="Q79">
        <v>76</v>
      </c>
      <c r="R79" t="str">
        <v>splash</v>
      </c>
      <c r="S79" t="str">
        <v>brace</v>
      </c>
      <c r="T79">
        <v>7.7081755299162724</v>
      </c>
      <c r="U79">
        <v>0.8</v>
      </c>
      <c r="V79">
        <v>0.02</v>
      </c>
      <c r="W79">
        <v>2965.4849452225881</v>
      </c>
      <c r="X79" t="str">
        <v>L3</v>
      </c>
      <c r="Z79">
        <f t="shared" si="25"/>
        <v>5.308175529916273</v>
      </c>
      <c r="AA79">
        <f t="shared" si="26"/>
        <v>3.0925052683774563E-2</v>
      </c>
      <c r="AB79">
        <f t="shared" si="27"/>
        <v>1288.6215221514622</v>
      </c>
      <c r="AC79">
        <f t="shared" si="28"/>
        <v>3157.1227292710823</v>
      </c>
      <c r="AD79">
        <f t="shared" si="29"/>
        <v>730.648403059879</v>
      </c>
      <c r="AE79">
        <f t="shared" si="30"/>
        <v>89.945782246172058</v>
      </c>
      <c r="AH79">
        <f t="shared" si="22"/>
        <v>2.3999999999999995</v>
      </c>
      <c r="AI79">
        <f t="shared" si="31"/>
        <v>0</v>
      </c>
      <c r="AJ79">
        <f t="shared" si="32"/>
        <v>0</v>
      </c>
      <c r="AK79">
        <f t="shared" si="33"/>
        <v>0</v>
      </c>
      <c r="AM79">
        <f t="shared" si="34"/>
        <v>0</v>
      </c>
      <c r="AN79">
        <f t="shared" si="35"/>
        <v>0</v>
      </c>
      <c r="AO79">
        <f t="shared" si="36"/>
        <v>0</v>
      </c>
      <c r="AP79">
        <f t="shared" si="23"/>
        <v>0</v>
      </c>
      <c r="AQ79">
        <f t="shared" si="24"/>
        <v>0</v>
      </c>
      <c r="AR79">
        <f t="shared" si="37"/>
        <v>0</v>
      </c>
    </row>
    <row r="80" spans="9:44" x14ac:dyDescent="0.25">
      <c r="I80">
        <v>77</v>
      </c>
      <c r="J80">
        <v>5</v>
      </c>
      <c r="K80">
        <v>12</v>
      </c>
      <c r="L80">
        <v>5</v>
      </c>
      <c r="M80">
        <v>12</v>
      </c>
      <c r="N80">
        <f t="shared" si="38"/>
        <v>5</v>
      </c>
      <c r="O80">
        <f t="shared" si="39"/>
        <v>1.1859512267301475E-2</v>
      </c>
      <c r="P80">
        <f t="shared" si="40"/>
        <v>2.8198935658622026E-2</v>
      </c>
      <c r="Q80">
        <v>77</v>
      </c>
      <c r="R80" t="str">
        <v>splash</v>
      </c>
      <c r="S80" t="str">
        <v>brace</v>
      </c>
      <c r="T80">
        <v>8.4724069779490652</v>
      </c>
      <c r="U80">
        <v>0.8</v>
      </c>
      <c r="V80">
        <v>0.02</v>
      </c>
      <c r="W80">
        <v>3259.4996371572861</v>
      </c>
      <c r="X80" t="str">
        <v>L3</v>
      </c>
      <c r="Z80">
        <f t="shared" si="25"/>
        <v>6.0724069779490648</v>
      </c>
      <c r="AA80">
        <f t="shared" si="26"/>
        <v>3.0925052683774563E-2</v>
      </c>
      <c r="AB80">
        <f t="shared" si="27"/>
        <v>1474.1476198266016</v>
      </c>
      <c r="AC80">
        <f t="shared" si="28"/>
        <v>3611.6616685751742</v>
      </c>
      <c r="AD80">
        <f t="shared" si="29"/>
        <v>835.84170044168309</v>
      </c>
      <c r="AE80">
        <f t="shared" si="30"/>
        <v>102.89550386389679</v>
      </c>
      <c r="AH80">
        <f t="shared" si="22"/>
        <v>2.4000000000000004</v>
      </c>
      <c r="AI80">
        <f t="shared" si="31"/>
        <v>0</v>
      </c>
      <c r="AJ80">
        <f t="shared" si="32"/>
        <v>0</v>
      </c>
      <c r="AK80">
        <f t="shared" si="33"/>
        <v>0</v>
      </c>
      <c r="AM80">
        <f t="shared" si="34"/>
        <v>0</v>
      </c>
      <c r="AN80">
        <f t="shared" si="35"/>
        <v>0</v>
      </c>
      <c r="AO80">
        <f t="shared" si="36"/>
        <v>0</v>
      </c>
      <c r="AP80">
        <f t="shared" si="23"/>
        <v>0</v>
      </c>
      <c r="AQ80">
        <f t="shared" si="24"/>
        <v>0</v>
      </c>
      <c r="AR80">
        <f t="shared" si="37"/>
        <v>0</v>
      </c>
    </row>
    <row r="81" spans="9:44" x14ac:dyDescent="0.25">
      <c r="I81">
        <v>78</v>
      </c>
      <c r="J81">
        <v>5</v>
      </c>
      <c r="K81">
        <v>12</v>
      </c>
      <c r="L81">
        <v>5</v>
      </c>
      <c r="M81">
        <v>12</v>
      </c>
      <c r="N81">
        <f t="shared" si="38"/>
        <v>5</v>
      </c>
      <c r="O81">
        <f t="shared" si="39"/>
        <v>1.1859512267301475E-2</v>
      </c>
      <c r="P81">
        <f t="shared" si="40"/>
        <v>2.8198935658622026E-2</v>
      </c>
      <c r="Q81">
        <v>78</v>
      </c>
      <c r="R81" t="str">
        <v>splash</v>
      </c>
      <c r="S81" t="str">
        <v>brace</v>
      </c>
      <c r="T81">
        <v>7.7081755299162724</v>
      </c>
      <c r="U81">
        <v>0.8</v>
      </c>
      <c r="V81">
        <v>0.02</v>
      </c>
      <c r="W81">
        <v>2965.4849452225881</v>
      </c>
      <c r="X81" t="str">
        <v>L3</v>
      </c>
      <c r="Z81">
        <f t="shared" si="25"/>
        <v>5.308175529916273</v>
      </c>
      <c r="AA81">
        <f t="shared" si="26"/>
        <v>3.0925052683774563E-2</v>
      </c>
      <c r="AB81">
        <f t="shared" si="27"/>
        <v>1288.6215221514622</v>
      </c>
      <c r="AC81">
        <f t="shared" si="28"/>
        <v>3157.1227292710823</v>
      </c>
      <c r="AD81">
        <f t="shared" si="29"/>
        <v>730.648403059879</v>
      </c>
      <c r="AE81">
        <f t="shared" si="30"/>
        <v>89.945782246172058</v>
      </c>
      <c r="AH81">
        <f t="shared" si="22"/>
        <v>2.3999999999999995</v>
      </c>
      <c r="AI81">
        <f t="shared" si="31"/>
        <v>0</v>
      </c>
      <c r="AJ81">
        <f t="shared" si="32"/>
        <v>0</v>
      </c>
      <c r="AK81">
        <f t="shared" si="33"/>
        <v>0</v>
      </c>
      <c r="AM81">
        <f t="shared" si="34"/>
        <v>0</v>
      </c>
      <c r="AN81">
        <f t="shared" si="35"/>
        <v>0</v>
      </c>
      <c r="AO81">
        <f t="shared" si="36"/>
        <v>0</v>
      </c>
      <c r="AP81">
        <f t="shared" si="23"/>
        <v>0</v>
      </c>
      <c r="AQ81">
        <f t="shared" si="24"/>
        <v>0</v>
      </c>
      <c r="AR81">
        <f t="shared" si="37"/>
        <v>0</v>
      </c>
    </row>
    <row r="82" spans="9:44" x14ac:dyDescent="0.25">
      <c r="I82">
        <v>79</v>
      </c>
      <c r="J82">
        <v>5</v>
      </c>
      <c r="K82">
        <v>12</v>
      </c>
      <c r="L82">
        <v>5</v>
      </c>
      <c r="M82">
        <v>12</v>
      </c>
      <c r="N82">
        <f t="shared" si="38"/>
        <v>5</v>
      </c>
      <c r="O82">
        <f t="shared" si="39"/>
        <v>1.1859512267301475E-2</v>
      </c>
      <c r="P82">
        <f t="shared" si="40"/>
        <v>2.8198935658622026E-2</v>
      </c>
      <c r="Q82">
        <v>79</v>
      </c>
      <c r="R82" t="str">
        <v>splash</v>
      </c>
      <c r="S82" t="str">
        <v>brace</v>
      </c>
      <c r="T82">
        <v>8.4724069779490652</v>
      </c>
      <c r="U82">
        <v>0.8</v>
      </c>
      <c r="V82">
        <v>0.02</v>
      </c>
      <c r="W82">
        <v>3259.4996371572861</v>
      </c>
      <c r="X82" t="str">
        <v>L3</v>
      </c>
      <c r="Z82">
        <f t="shared" si="25"/>
        <v>6.0724069779490648</v>
      </c>
      <c r="AA82">
        <f t="shared" si="26"/>
        <v>3.0925052683774563E-2</v>
      </c>
      <c r="AB82">
        <f t="shared" si="27"/>
        <v>1474.1476198266016</v>
      </c>
      <c r="AC82">
        <f t="shared" si="28"/>
        <v>3611.6616685751742</v>
      </c>
      <c r="AD82">
        <f t="shared" si="29"/>
        <v>835.84170044168309</v>
      </c>
      <c r="AE82">
        <f t="shared" si="30"/>
        <v>102.89550386389679</v>
      </c>
      <c r="AH82">
        <f t="shared" si="22"/>
        <v>2.4000000000000004</v>
      </c>
      <c r="AI82">
        <f t="shared" si="31"/>
        <v>0</v>
      </c>
      <c r="AJ82">
        <f t="shared" si="32"/>
        <v>0</v>
      </c>
      <c r="AK82">
        <f t="shared" si="33"/>
        <v>0</v>
      </c>
      <c r="AM82">
        <f t="shared" si="34"/>
        <v>0</v>
      </c>
      <c r="AN82">
        <f t="shared" si="35"/>
        <v>0</v>
      </c>
      <c r="AO82">
        <f t="shared" si="36"/>
        <v>0</v>
      </c>
      <c r="AP82">
        <f t="shared" si="23"/>
        <v>0</v>
      </c>
      <c r="AQ82">
        <f t="shared" si="24"/>
        <v>0</v>
      </c>
      <c r="AR82">
        <f t="shared" si="37"/>
        <v>0</v>
      </c>
    </row>
    <row r="83" spans="9:44" x14ac:dyDescent="0.25">
      <c r="I83">
        <v>80</v>
      </c>
      <c r="J83">
        <v>5</v>
      </c>
      <c r="K83">
        <v>12</v>
      </c>
      <c r="L83">
        <v>5</v>
      </c>
      <c r="M83">
        <v>12</v>
      </c>
      <c r="N83">
        <f t="shared" si="38"/>
        <v>5</v>
      </c>
      <c r="O83">
        <f t="shared" si="39"/>
        <v>1.1859512267301475E-2</v>
      </c>
      <c r="P83">
        <f t="shared" si="40"/>
        <v>2.8198935658622026E-2</v>
      </c>
      <c r="Q83">
        <v>80</v>
      </c>
      <c r="R83" t="str">
        <v>splash</v>
      </c>
      <c r="S83" t="str">
        <v>brace</v>
      </c>
      <c r="T83">
        <v>7.7081755299162724</v>
      </c>
      <c r="U83">
        <v>0.8</v>
      </c>
      <c r="V83">
        <v>0.02</v>
      </c>
      <c r="W83">
        <v>2965.4849452225881</v>
      </c>
      <c r="X83" t="str">
        <v>L3</v>
      </c>
      <c r="Z83">
        <f t="shared" si="25"/>
        <v>5.308175529916273</v>
      </c>
      <c r="AA83">
        <f t="shared" si="26"/>
        <v>3.0925052683774563E-2</v>
      </c>
      <c r="AB83">
        <f t="shared" si="27"/>
        <v>1288.6215221514622</v>
      </c>
      <c r="AC83">
        <f t="shared" si="28"/>
        <v>3157.1227292710823</v>
      </c>
      <c r="AD83">
        <f t="shared" si="29"/>
        <v>730.648403059879</v>
      </c>
      <c r="AE83">
        <f t="shared" si="30"/>
        <v>89.945782246172058</v>
      </c>
      <c r="AH83">
        <f t="shared" si="22"/>
        <v>2.3999999999999995</v>
      </c>
      <c r="AI83">
        <f t="shared" si="31"/>
        <v>0</v>
      </c>
      <c r="AJ83">
        <f t="shared" si="32"/>
        <v>0</v>
      </c>
      <c r="AK83">
        <f t="shared" si="33"/>
        <v>0</v>
      </c>
      <c r="AM83">
        <f t="shared" si="34"/>
        <v>0</v>
      </c>
      <c r="AN83">
        <f t="shared" si="35"/>
        <v>0</v>
      </c>
      <c r="AO83">
        <f t="shared" si="36"/>
        <v>0</v>
      </c>
      <c r="AP83">
        <f t="shared" si="23"/>
        <v>0</v>
      </c>
      <c r="AQ83">
        <f t="shared" si="24"/>
        <v>0</v>
      </c>
      <c r="AR83">
        <f t="shared" si="37"/>
        <v>0</v>
      </c>
    </row>
    <row r="84" spans="9:44" x14ac:dyDescent="0.25">
      <c r="I84">
        <v>81</v>
      </c>
      <c r="J84">
        <v>5</v>
      </c>
      <c r="K84">
        <v>12</v>
      </c>
      <c r="L84">
        <v>5</v>
      </c>
      <c r="M84">
        <v>12</v>
      </c>
      <c r="N84">
        <f t="shared" si="38"/>
        <v>5</v>
      </c>
      <c r="O84">
        <f t="shared" si="39"/>
        <v>1.1859512267301475E-2</v>
      </c>
      <c r="P84">
        <f t="shared" si="40"/>
        <v>2.8198935658622026E-2</v>
      </c>
      <c r="Q84">
        <v>81</v>
      </c>
      <c r="R84" t="str">
        <v>splash</v>
      </c>
      <c r="S84" t="str">
        <v>brace</v>
      </c>
      <c r="T84">
        <v>8.4724069779490652</v>
      </c>
      <c r="U84">
        <v>0.8</v>
      </c>
      <c r="V84">
        <v>0.02</v>
      </c>
      <c r="W84">
        <v>3259.4996371572861</v>
      </c>
      <c r="X84" t="str">
        <v>L3</v>
      </c>
      <c r="Z84">
        <f t="shared" si="25"/>
        <v>6.0724069779490648</v>
      </c>
      <c r="AA84">
        <f t="shared" si="26"/>
        <v>3.0925052683774563E-2</v>
      </c>
      <c r="AB84">
        <f t="shared" si="27"/>
        <v>1474.1476198266016</v>
      </c>
      <c r="AC84">
        <f t="shared" si="28"/>
        <v>3611.6616685751742</v>
      </c>
      <c r="AD84">
        <f t="shared" si="29"/>
        <v>835.84170044168309</v>
      </c>
      <c r="AE84">
        <f t="shared" si="30"/>
        <v>102.89550386389679</v>
      </c>
      <c r="AH84">
        <f t="shared" si="22"/>
        <v>2.4000000000000004</v>
      </c>
      <c r="AI84">
        <f t="shared" si="31"/>
        <v>0</v>
      </c>
      <c r="AJ84">
        <f t="shared" si="32"/>
        <v>0</v>
      </c>
      <c r="AK84">
        <f t="shared" si="33"/>
        <v>0</v>
      </c>
      <c r="AM84">
        <f t="shared" si="34"/>
        <v>0</v>
      </c>
      <c r="AN84">
        <f t="shared" si="35"/>
        <v>0</v>
      </c>
      <c r="AO84">
        <f t="shared" si="36"/>
        <v>0</v>
      </c>
      <c r="AP84">
        <f t="shared" si="23"/>
        <v>0</v>
      </c>
      <c r="AQ84">
        <f t="shared" si="24"/>
        <v>0</v>
      </c>
      <c r="AR84">
        <f t="shared" si="37"/>
        <v>0</v>
      </c>
    </row>
    <row r="85" spans="9:44" x14ac:dyDescent="0.25">
      <c r="I85">
        <v>82</v>
      </c>
      <c r="J85">
        <v>5</v>
      </c>
      <c r="K85">
        <v>12</v>
      </c>
      <c r="L85">
        <v>5</v>
      </c>
      <c r="M85">
        <v>12</v>
      </c>
      <c r="N85">
        <f t="shared" si="38"/>
        <v>5</v>
      </c>
      <c r="O85">
        <f t="shared" si="39"/>
        <v>1.1859512267301475E-2</v>
      </c>
      <c r="P85">
        <f t="shared" si="40"/>
        <v>2.8198935658622026E-2</v>
      </c>
      <c r="Q85">
        <v>82</v>
      </c>
      <c r="R85" t="str">
        <v>splash</v>
      </c>
      <c r="S85" t="str">
        <v>brace</v>
      </c>
      <c r="T85">
        <v>7.7081755299162724</v>
      </c>
      <c r="U85">
        <v>0.8</v>
      </c>
      <c r="V85">
        <v>0.02</v>
      </c>
      <c r="W85">
        <v>2965.4849452225881</v>
      </c>
      <c r="X85" t="str">
        <v>L3</v>
      </c>
      <c r="Z85">
        <f t="shared" si="25"/>
        <v>5.308175529916273</v>
      </c>
      <c r="AA85">
        <f t="shared" si="26"/>
        <v>3.0925052683774563E-2</v>
      </c>
      <c r="AB85">
        <f t="shared" si="27"/>
        <v>1288.6215221514622</v>
      </c>
      <c r="AC85">
        <f t="shared" si="28"/>
        <v>3157.1227292710823</v>
      </c>
      <c r="AD85">
        <f t="shared" si="29"/>
        <v>730.648403059879</v>
      </c>
      <c r="AE85">
        <f t="shared" si="30"/>
        <v>89.945782246172058</v>
      </c>
      <c r="AH85">
        <f t="shared" si="22"/>
        <v>2.3999999999999995</v>
      </c>
      <c r="AI85">
        <f t="shared" si="31"/>
        <v>0</v>
      </c>
      <c r="AJ85">
        <f t="shared" si="32"/>
        <v>0</v>
      </c>
      <c r="AK85">
        <f t="shared" si="33"/>
        <v>0</v>
      </c>
      <c r="AM85">
        <f t="shared" si="34"/>
        <v>0</v>
      </c>
      <c r="AN85">
        <f t="shared" si="35"/>
        <v>0</v>
      </c>
      <c r="AO85">
        <f t="shared" si="36"/>
        <v>0</v>
      </c>
      <c r="AP85">
        <f t="shared" si="23"/>
        <v>0</v>
      </c>
      <c r="AQ85">
        <f t="shared" si="24"/>
        <v>0</v>
      </c>
      <c r="AR85">
        <f t="shared" si="37"/>
        <v>0</v>
      </c>
    </row>
    <row r="86" spans="9:44" x14ac:dyDescent="0.25">
      <c r="I86">
        <v>83</v>
      </c>
      <c r="J86">
        <v>5</v>
      </c>
      <c r="K86">
        <v>12</v>
      </c>
      <c r="L86">
        <v>5</v>
      </c>
      <c r="M86">
        <v>12</v>
      </c>
      <c r="N86">
        <f t="shared" si="38"/>
        <v>5</v>
      </c>
      <c r="O86">
        <f t="shared" si="39"/>
        <v>1.1859512267301475E-2</v>
      </c>
      <c r="P86">
        <f t="shared" si="40"/>
        <v>2.8198935658622026E-2</v>
      </c>
      <c r="Q86">
        <v>83</v>
      </c>
      <c r="R86" t="str">
        <v>splash</v>
      </c>
      <c r="S86" t="str">
        <v>brace</v>
      </c>
      <c r="T86">
        <v>8.4724069779490652</v>
      </c>
      <c r="U86">
        <v>0.8</v>
      </c>
      <c r="V86">
        <v>0.02</v>
      </c>
      <c r="W86">
        <v>3259.4996371572861</v>
      </c>
      <c r="X86" t="str">
        <v>L3</v>
      </c>
      <c r="Z86">
        <f t="shared" si="25"/>
        <v>6.0724069779490648</v>
      </c>
      <c r="AA86">
        <f t="shared" si="26"/>
        <v>3.0925052683774563E-2</v>
      </c>
      <c r="AB86">
        <f t="shared" si="27"/>
        <v>1474.1476198266016</v>
      </c>
      <c r="AC86">
        <f t="shared" si="28"/>
        <v>3611.6616685751742</v>
      </c>
      <c r="AD86">
        <f t="shared" si="29"/>
        <v>835.84170044168309</v>
      </c>
      <c r="AE86">
        <f t="shared" si="30"/>
        <v>102.89550386389679</v>
      </c>
      <c r="AH86">
        <f t="shared" si="22"/>
        <v>2.4000000000000004</v>
      </c>
      <c r="AI86">
        <f t="shared" si="31"/>
        <v>0</v>
      </c>
      <c r="AJ86">
        <f t="shared" si="32"/>
        <v>0</v>
      </c>
      <c r="AK86">
        <f t="shared" si="33"/>
        <v>0</v>
      </c>
      <c r="AM86">
        <f t="shared" si="34"/>
        <v>0</v>
      </c>
      <c r="AN86">
        <f t="shared" si="35"/>
        <v>0</v>
      </c>
      <c r="AO86">
        <f t="shared" si="36"/>
        <v>0</v>
      </c>
      <c r="AP86">
        <f t="shared" si="23"/>
        <v>0</v>
      </c>
      <c r="AQ86">
        <f t="shared" si="24"/>
        <v>0</v>
      </c>
      <c r="AR86">
        <f t="shared" si="37"/>
        <v>0</v>
      </c>
    </row>
    <row r="87" spans="9:44" x14ac:dyDescent="0.25">
      <c r="I87">
        <v>84</v>
      </c>
      <c r="J87">
        <v>5</v>
      </c>
      <c r="K87">
        <v>12</v>
      </c>
      <c r="L87">
        <v>5</v>
      </c>
      <c r="M87">
        <v>12</v>
      </c>
      <c r="N87">
        <f t="shared" si="38"/>
        <v>5</v>
      </c>
      <c r="O87">
        <f t="shared" si="39"/>
        <v>1.1859512267301475E-2</v>
      </c>
      <c r="P87">
        <f t="shared" si="40"/>
        <v>2.8198935658622026E-2</v>
      </c>
      <c r="Q87">
        <v>84</v>
      </c>
      <c r="R87" t="str">
        <v>splash</v>
      </c>
      <c r="S87" t="str">
        <v>brace</v>
      </c>
      <c r="T87">
        <v>7.7081755299162724</v>
      </c>
      <c r="U87">
        <v>0.8</v>
      </c>
      <c r="V87">
        <v>0.02</v>
      </c>
      <c r="W87">
        <v>2965.4849452225881</v>
      </c>
      <c r="X87" t="str">
        <v>L3</v>
      </c>
      <c r="Z87">
        <f t="shared" si="25"/>
        <v>5.308175529916273</v>
      </c>
      <c r="AA87">
        <f t="shared" si="26"/>
        <v>3.0925052683774563E-2</v>
      </c>
      <c r="AB87">
        <f t="shared" si="27"/>
        <v>1288.6215221514622</v>
      </c>
      <c r="AC87">
        <f t="shared" si="28"/>
        <v>3157.1227292710823</v>
      </c>
      <c r="AD87">
        <f t="shared" si="29"/>
        <v>730.648403059879</v>
      </c>
      <c r="AE87">
        <f t="shared" si="30"/>
        <v>89.945782246172058</v>
      </c>
      <c r="AH87">
        <f t="shared" si="22"/>
        <v>2.3999999999999995</v>
      </c>
      <c r="AI87">
        <f t="shared" si="31"/>
        <v>0</v>
      </c>
      <c r="AJ87">
        <f t="shared" si="32"/>
        <v>0</v>
      </c>
      <c r="AK87">
        <f t="shared" si="33"/>
        <v>0</v>
      </c>
      <c r="AM87">
        <f t="shared" si="34"/>
        <v>0</v>
      </c>
      <c r="AN87">
        <f t="shared" si="35"/>
        <v>0</v>
      </c>
      <c r="AO87">
        <f t="shared" si="36"/>
        <v>0</v>
      </c>
      <c r="AP87">
        <f t="shared" si="23"/>
        <v>0</v>
      </c>
      <c r="AQ87">
        <f t="shared" si="24"/>
        <v>0</v>
      </c>
      <c r="AR87">
        <f t="shared" si="37"/>
        <v>0</v>
      </c>
    </row>
    <row r="88" spans="9:44" x14ac:dyDescent="0.25">
      <c r="I88">
        <v>85</v>
      </c>
      <c r="J88">
        <v>5</v>
      </c>
      <c r="K88">
        <v>12</v>
      </c>
      <c r="L88">
        <v>10</v>
      </c>
      <c r="M88">
        <v>12</v>
      </c>
      <c r="N88">
        <f t="shared" si="38"/>
        <v>7.5</v>
      </c>
      <c r="O88">
        <f t="shared" si="39"/>
        <v>1.7730363538697391E-2</v>
      </c>
      <c r="P88">
        <f t="shared" si="40"/>
        <v>2.8198935658622026E-2</v>
      </c>
      <c r="Q88">
        <v>85</v>
      </c>
      <c r="R88" t="str">
        <v>splash</v>
      </c>
      <c r="S88" t="str">
        <v>brace</v>
      </c>
      <c r="T88">
        <v>7.3407455343445873</v>
      </c>
      <c r="U88">
        <v>0.8</v>
      </c>
      <c r="V88">
        <v>0.02</v>
      </c>
      <c r="W88">
        <v>2824.1274844250038</v>
      </c>
      <c r="X88" t="str">
        <v>L3</v>
      </c>
      <c r="Z88">
        <f t="shared" si="25"/>
        <v>4.9407455343445879</v>
      </c>
      <c r="AA88">
        <f t="shared" si="26"/>
        <v>3.0925052683774563E-2</v>
      </c>
      <c r="AB88">
        <f t="shared" si="27"/>
        <v>1199.4236051818327</v>
      </c>
      <c r="AC88">
        <f t="shared" si="28"/>
        <v>2938.5878326954903</v>
      </c>
      <c r="AD88">
        <f t="shared" si="29"/>
        <v>680.07318413809912</v>
      </c>
      <c r="AE88">
        <f t="shared" si="30"/>
        <v>83.719767641691931</v>
      </c>
      <c r="AH88">
        <f t="shared" si="22"/>
        <v>2.3999999999999995</v>
      </c>
      <c r="AI88">
        <f t="shared" si="31"/>
        <v>0</v>
      </c>
      <c r="AJ88">
        <f t="shared" si="32"/>
        <v>0</v>
      </c>
      <c r="AK88">
        <f t="shared" si="33"/>
        <v>0</v>
      </c>
      <c r="AM88">
        <f t="shared" si="34"/>
        <v>0</v>
      </c>
      <c r="AN88">
        <f t="shared" si="35"/>
        <v>0</v>
      </c>
      <c r="AO88">
        <f t="shared" si="36"/>
        <v>0</v>
      </c>
      <c r="AP88">
        <f t="shared" si="23"/>
        <v>0</v>
      </c>
      <c r="AQ88">
        <f t="shared" si="24"/>
        <v>0</v>
      </c>
      <c r="AR88">
        <f t="shared" si="37"/>
        <v>0</v>
      </c>
    </row>
    <row r="89" spans="9:44" x14ac:dyDescent="0.25">
      <c r="I89">
        <v>86</v>
      </c>
      <c r="J89">
        <v>10</v>
      </c>
      <c r="K89">
        <v>12</v>
      </c>
      <c r="L89">
        <v>5</v>
      </c>
      <c r="M89">
        <v>12</v>
      </c>
      <c r="N89">
        <f t="shared" si="38"/>
        <v>7.5</v>
      </c>
      <c r="O89">
        <f t="shared" si="39"/>
        <v>1.7730363538697391E-2</v>
      </c>
      <c r="P89">
        <f t="shared" si="40"/>
        <v>2.8198935658622026E-2</v>
      </c>
      <c r="Q89">
        <v>86</v>
      </c>
      <c r="R89" t="str">
        <v>atmospheric</v>
      </c>
      <c r="S89" t="str">
        <v>brace</v>
      </c>
      <c r="T89">
        <v>6.7231619049372888</v>
      </c>
      <c r="U89">
        <v>0.8</v>
      </c>
      <c r="V89">
        <v>0.02</v>
      </c>
      <c r="W89">
        <v>2586.5310586151259</v>
      </c>
      <c r="X89" t="str">
        <v>L2</v>
      </c>
      <c r="Z89">
        <f t="shared" si="25"/>
        <v>4.3231619049372885</v>
      </c>
      <c r="AA89">
        <f t="shared" si="26"/>
        <v>4.9008845396000866E-2</v>
      </c>
      <c r="AB89">
        <f t="shared" si="27"/>
        <v>1663.2044113544744</v>
      </c>
      <c r="AC89">
        <f t="shared" si="28"/>
        <v>4074.8508078184623</v>
      </c>
      <c r="AD89">
        <f t="shared" si="29"/>
        <v>943.03690123798685</v>
      </c>
      <c r="AE89">
        <f t="shared" si="30"/>
        <v>116.09166791254231</v>
      </c>
      <c r="AH89">
        <f t="shared" si="22"/>
        <v>2.4000000000000004</v>
      </c>
      <c r="AI89">
        <f t="shared" si="31"/>
        <v>0</v>
      </c>
      <c r="AJ89">
        <f t="shared" si="32"/>
        <v>0</v>
      </c>
      <c r="AK89">
        <f t="shared" si="33"/>
        <v>0</v>
      </c>
      <c r="AM89">
        <f t="shared" si="34"/>
        <v>0</v>
      </c>
      <c r="AN89">
        <f t="shared" si="35"/>
        <v>0</v>
      </c>
      <c r="AO89">
        <f t="shared" si="36"/>
        <v>0</v>
      </c>
      <c r="AP89">
        <f t="shared" si="23"/>
        <v>0</v>
      </c>
      <c r="AQ89">
        <f t="shared" si="24"/>
        <v>0</v>
      </c>
      <c r="AR89">
        <f t="shared" si="37"/>
        <v>0</v>
      </c>
    </row>
    <row r="90" spans="9:44" x14ac:dyDescent="0.25">
      <c r="I90">
        <v>87</v>
      </c>
      <c r="J90">
        <v>5</v>
      </c>
      <c r="K90">
        <v>12</v>
      </c>
      <c r="L90">
        <v>10</v>
      </c>
      <c r="M90">
        <v>12</v>
      </c>
      <c r="N90">
        <f t="shared" si="38"/>
        <v>7.5</v>
      </c>
      <c r="O90">
        <f t="shared" si="39"/>
        <v>1.7730363538697391E-2</v>
      </c>
      <c r="P90">
        <f t="shared" si="40"/>
        <v>2.8198935658622026E-2</v>
      </c>
      <c r="Q90">
        <v>87</v>
      </c>
      <c r="R90" t="str">
        <v>splash</v>
      </c>
      <c r="S90" t="str">
        <v>brace</v>
      </c>
      <c r="T90">
        <v>7.3407455343445873</v>
      </c>
      <c r="U90">
        <v>0.8</v>
      </c>
      <c r="V90">
        <v>0.02</v>
      </c>
      <c r="W90">
        <v>2824.1274844250038</v>
      </c>
      <c r="X90" t="str">
        <v>L3</v>
      </c>
      <c r="Z90">
        <f t="shared" si="25"/>
        <v>4.9407455343445879</v>
      </c>
      <c r="AA90">
        <f t="shared" si="26"/>
        <v>3.0925052683774563E-2</v>
      </c>
      <c r="AB90">
        <f t="shared" si="27"/>
        <v>1199.4236051818327</v>
      </c>
      <c r="AC90">
        <f t="shared" si="28"/>
        <v>2938.5878326954903</v>
      </c>
      <c r="AD90">
        <f t="shared" si="29"/>
        <v>680.07318413809912</v>
      </c>
      <c r="AE90">
        <f t="shared" si="30"/>
        <v>83.719767641691931</v>
      </c>
      <c r="AH90">
        <f t="shared" si="22"/>
        <v>2.3999999999999995</v>
      </c>
      <c r="AI90">
        <f t="shared" si="31"/>
        <v>0</v>
      </c>
      <c r="AJ90">
        <f t="shared" si="32"/>
        <v>0</v>
      </c>
      <c r="AK90">
        <f t="shared" si="33"/>
        <v>0</v>
      </c>
      <c r="AM90">
        <f t="shared" si="34"/>
        <v>0</v>
      </c>
      <c r="AN90">
        <f t="shared" si="35"/>
        <v>0</v>
      </c>
      <c r="AO90">
        <f t="shared" si="36"/>
        <v>0</v>
      </c>
      <c r="AP90">
        <f t="shared" si="23"/>
        <v>0</v>
      </c>
      <c r="AQ90">
        <f t="shared" si="24"/>
        <v>0</v>
      </c>
      <c r="AR90">
        <f t="shared" si="37"/>
        <v>0</v>
      </c>
    </row>
    <row r="91" spans="9:44" x14ac:dyDescent="0.25">
      <c r="I91">
        <v>88</v>
      </c>
      <c r="J91">
        <v>10</v>
      </c>
      <c r="K91">
        <v>12</v>
      </c>
      <c r="L91">
        <v>5</v>
      </c>
      <c r="M91">
        <v>12</v>
      </c>
      <c r="N91">
        <f t="shared" si="38"/>
        <v>7.5</v>
      </c>
      <c r="O91">
        <f t="shared" si="39"/>
        <v>1.7730363538697391E-2</v>
      </c>
      <c r="P91">
        <f t="shared" si="40"/>
        <v>2.8198935658622026E-2</v>
      </c>
      <c r="Q91">
        <v>88</v>
      </c>
      <c r="R91" t="str">
        <v>atmospheric</v>
      </c>
      <c r="S91" t="str">
        <v>brace</v>
      </c>
      <c r="T91">
        <v>6.7231619049372888</v>
      </c>
      <c r="U91">
        <v>0.8</v>
      </c>
      <c r="V91">
        <v>0.02</v>
      </c>
      <c r="W91">
        <v>2586.5310586151259</v>
      </c>
      <c r="X91" t="str">
        <v>L2</v>
      </c>
      <c r="Z91">
        <f t="shared" si="25"/>
        <v>4.3231619049372885</v>
      </c>
      <c r="AA91">
        <f t="shared" si="26"/>
        <v>4.9008845396000866E-2</v>
      </c>
      <c r="AB91">
        <f t="shared" si="27"/>
        <v>1663.2044113544744</v>
      </c>
      <c r="AC91">
        <f t="shared" si="28"/>
        <v>4074.8508078184623</v>
      </c>
      <c r="AD91">
        <f t="shared" si="29"/>
        <v>943.03690123798685</v>
      </c>
      <c r="AE91">
        <f t="shared" si="30"/>
        <v>116.09166791254231</v>
      </c>
      <c r="AH91">
        <f t="shared" si="22"/>
        <v>2.4000000000000004</v>
      </c>
      <c r="AI91">
        <f t="shared" si="31"/>
        <v>0</v>
      </c>
      <c r="AJ91">
        <f t="shared" si="32"/>
        <v>0</v>
      </c>
      <c r="AK91">
        <f t="shared" si="33"/>
        <v>0</v>
      </c>
      <c r="AM91">
        <f t="shared" si="34"/>
        <v>0</v>
      </c>
      <c r="AN91">
        <f t="shared" si="35"/>
        <v>0</v>
      </c>
      <c r="AO91">
        <f t="shared" si="36"/>
        <v>0</v>
      </c>
      <c r="AP91">
        <f t="shared" si="23"/>
        <v>0</v>
      </c>
      <c r="AQ91">
        <f t="shared" si="24"/>
        <v>0</v>
      </c>
      <c r="AR91">
        <f t="shared" si="37"/>
        <v>0</v>
      </c>
    </row>
    <row r="92" spans="9:44" x14ac:dyDescent="0.25">
      <c r="I92">
        <v>89</v>
      </c>
      <c r="J92">
        <v>5</v>
      </c>
      <c r="K92">
        <v>12</v>
      </c>
      <c r="L92">
        <v>10</v>
      </c>
      <c r="M92">
        <v>12</v>
      </c>
      <c r="N92">
        <f t="shared" si="38"/>
        <v>7.5</v>
      </c>
      <c r="O92">
        <f t="shared" si="39"/>
        <v>1.7730363538697391E-2</v>
      </c>
      <c r="P92">
        <f t="shared" si="40"/>
        <v>2.8198935658622026E-2</v>
      </c>
      <c r="Q92">
        <v>89</v>
      </c>
      <c r="R92" t="str">
        <v>splash</v>
      </c>
      <c r="S92" t="str">
        <v>brace</v>
      </c>
      <c r="T92">
        <v>7.3407455343445873</v>
      </c>
      <c r="U92">
        <v>0.8</v>
      </c>
      <c r="V92">
        <v>0.02</v>
      </c>
      <c r="W92">
        <v>2824.1274844250038</v>
      </c>
      <c r="X92" t="str">
        <v>L3</v>
      </c>
      <c r="Z92">
        <f t="shared" si="25"/>
        <v>4.9407455343445879</v>
      </c>
      <c r="AA92">
        <f t="shared" si="26"/>
        <v>3.0925052683774563E-2</v>
      </c>
      <c r="AB92">
        <f t="shared" si="27"/>
        <v>1199.4236051818327</v>
      </c>
      <c r="AC92">
        <f t="shared" si="28"/>
        <v>2938.5878326954903</v>
      </c>
      <c r="AD92">
        <f t="shared" si="29"/>
        <v>680.07318413809912</v>
      </c>
      <c r="AE92">
        <f t="shared" si="30"/>
        <v>83.719767641691931</v>
      </c>
      <c r="AH92">
        <f t="shared" si="22"/>
        <v>2.3999999999999995</v>
      </c>
      <c r="AI92">
        <f t="shared" si="31"/>
        <v>0</v>
      </c>
      <c r="AJ92">
        <f t="shared" si="32"/>
        <v>0</v>
      </c>
      <c r="AK92">
        <f t="shared" si="33"/>
        <v>0</v>
      </c>
      <c r="AM92">
        <f t="shared" si="34"/>
        <v>0</v>
      </c>
      <c r="AN92">
        <f t="shared" si="35"/>
        <v>0</v>
      </c>
      <c r="AO92">
        <f t="shared" si="36"/>
        <v>0</v>
      </c>
      <c r="AP92">
        <f t="shared" si="23"/>
        <v>0</v>
      </c>
      <c r="AQ92">
        <f t="shared" si="24"/>
        <v>0</v>
      </c>
      <c r="AR92">
        <f t="shared" si="37"/>
        <v>0</v>
      </c>
    </row>
    <row r="93" spans="9:44" x14ac:dyDescent="0.25">
      <c r="I93">
        <v>90</v>
      </c>
      <c r="J93">
        <v>10</v>
      </c>
      <c r="K93">
        <v>12</v>
      </c>
      <c r="L93">
        <v>10</v>
      </c>
      <c r="M93">
        <v>12</v>
      </c>
      <c r="N93">
        <f t="shared" si="38"/>
        <v>10</v>
      </c>
      <c r="O93">
        <f t="shared" si="39"/>
        <v>2.3561944901923482E-2</v>
      </c>
      <c r="P93">
        <f t="shared" si="40"/>
        <v>2.8198935658622026E-2</v>
      </c>
      <c r="Q93">
        <v>90</v>
      </c>
      <c r="R93" t="str">
        <v>atmospheric</v>
      </c>
      <c r="S93" t="str">
        <v>brace</v>
      </c>
      <c r="T93">
        <v>6.7231619049372888</v>
      </c>
      <c r="U93">
        <v>0.8</v>
      </c>
      <c r="V93">
        <v>0.02</v>
      </c>
      <c r="W93">
        <v>2586.5310586151259</v>
      </c>
      <c r="X93" t="str">
        <v>L2</v>
      </c>
      <c r="Z93">
        <f t="shared" si="25"/>
        <v>4.3231619049372885</v>
      </c>
      <c r="AA93">
        <f t="shared" si="26"/>
        <v>4.9008845396000866E-2</v>
      </c>
      <c r="AB93">
        <f t="shared" si="27"/>
        <v>1663.2044113544744</v>
      </c>
      <c r="AC93">
        <f t="shared" si="28"/>
        <v>4074.8508078184623</v>
      </c>
      <c r="AD93">
        <f t="shared" si="29"/>
        <v>943.03690123798685</v>
      </c>
      <c r="AE93">
        <f t="shared" si="30"/>
        <v>116.09166791254231</v>
      </c>
      <c r="AH93">
        <f t="shared" si="22"/>
        <v>2.4000000000000004</v>
      </c>
      <c r="AI93">
        <f t="shared" si="31"/>
        <v>0</v>
      </c>
      <c r="AJ93">
        <f t="shared" si="32"/>
        <v>0</v>
      </c>
      <c r="AK93">
        <f t="shared" si="33"/>
        <v>0</v>
      </c>
      <c r="AM93">
        <f t="shared" si="34"/>
        <v>0</v>
      </c>
      <c r="AN93">
        <f t="shared" si="35"/>
        <v>0</v>
      </c>
      <c r="AO93">
        <f t="shared" si="36"/>
        <v>0</v>
      </c>
      <c r="AP93">
        <f t="shared" si="23"/>
        <v>0</v>
      </c>
      <c r="AQ93">
        <f t="shared" si="24"/>
        <v>0</v>
      </c>
      <c r="AR93">
        <f t="shared" si="37"/>
        <v>0</v>
      </c>
    </row>
    <row r="94" spans="9:44" x14ac:dyDescent="0.25">
      <c r="I94">
        <v>91</v>
      </c>
      <c r="J94">
        <v>5</v>
      </c>
      <c r="K94">
        <v>12</v>
      </c>
      <c r="L94">
        <v>5</v>
      </c>
      <c r="M94">
        <v>12</v>
      </c>
      <c r="N94">
        <f t="shared" si="38"/>
        <v>5</v>
      </c>
      <c r="O94">
        <f t="shared" si="39"/>
        <v>1.1859512267301475E-2</v>
      </c>
      <c r="P94">
        <f t="shared" si="40"/>
        <v>2.8198935658622026E-2</v>
      </c>
      <c r="Q94">
        <v>91</v>
      </c>
      <c r="R94" t="str">
        <v>splash</v>
      </c>
      <c r="S94" t="str">
        <v>brace</v>
      </c>
      <c r="T94">
        <v>7.3407455343445873</v>
      </c>
      <c r="U94">
        <v>0.8</v>
      </c>
      <c r="V94">
        <v>0.02</v>
      </c>
      <c r="W94">
        <v>2824.1274844250038</v>
      </c>
      <c r="X94" t="str">
        <v>L3</v>
      </c>
      <c r="Z94">
        <f t="shared" si="25"/>
        <v>4.9407455343445879</v>
      </c>
      <c r="AA94">
        <f t="shared" si="26"/>
        <v>3.0925052683774563E-2</v>
      </c>
      <c r="AB94">
        <f t="shared" si="27"/>
        <v>1199.4236051818327</v>
      </c>
      <c r="AC94">
        <f t="shared" si="28"/>
        <v>2938.5878326954903</v>
      </c>
      <c r="AD94">
        <f t="shared" si="29"/>
        <v>680.07318413809912</v>
      </c>
      <c r="AE94">
        <f t="shared" si="30"/>
        <v>83.719767641691931</v>
      </c>
      <c r="AH94">
        <f t="shared" si="22"/>
        <v>2.3999999999999995</v>
      </c>
      <c r="AI94">
        <f t="shared" si="31"/>
        <v>0</v>
      </c>
      <c r="AJ94">
        <f t="shared" si="32"/>
        <v>0</v>
      </c>
      <c r="AK94">
        <f t="shared" si="33"/>
        <v>0</v>
      </c>
      <c r="AM94">
        <f t="shared" si="34"/>
        <v>0</v>
      </c>
      <c r="AN94">
        <f t="shared" si="35"/>
        <v>0</v>
      </c>
      <c r="AO94">
        <f t="shared" si="36"/>
        <v>0</v>
      </c>
      <c r="AP94">
        <f t="shared" si="23"/>
        <v>0</v>
      </c>
      <c r="AQ94">
        <f t="shared" si="24"/>
        <v>0</v>
      </c>
      <c r="AR94">
        <f t="shared" si="37"/>
        <v>0</v>
      </c>
    </row>
    <row r="95" spans="9:44" x14ac:dyDescent="0.25">
      <c r="I95">
        <v>92</v>
      </c>
      <c r="J95">
        <v>10</v>
      </c>
      <c r="K95">
        <v>12</v>
      </c>
      <c r="L95">
        <v>10</v>
      </c>
      <c r="M95">
        <v>12</v>
      </c>
      <c r="N95">
        <f t="shared" si="38"/>
        <v>10</v>
      </c>
      <c r="O95">
        <f t="shared" si="39"/>
        <v>2.3561944901923482E-2</v>
      </c>
      <c r="P95">
        <f t="shared" si="40"/>
        <v>2.8198935658622026E-2</v>
      </c>
      <c r="Q95">
        <v>92</v>
      </c>
      <c r="R95" t="str">
        <v>atmospheric</v>
      </c>
      <c r="S95" t="str">
        <v>brace</v>
      </c>
      <c r="T95">
        <v>6.7231619049372888</v>
      </c>
      <c r="U95">
        <v>0.8</v>
      </c>
      <c r="V95">
        <v>0.02</v>
      </c>
      <c r="W95">
        <v>2586.5310586151259</v>
      </c>
      <c r="X95" t="str">
        <v>L2</v>
      </c>
      <c r="Z95">
        <f t="shared" si="25"/>
        <v>4.3231619049372885</v>
      </c>
      <c r="AA95">
        <f t="shared" si="26"/>
        <v>4.9008845396000866E-2</v>
      </c>
      <c r="AB95">
        <f t="shared" si="27"/>
        <v>1663.2044113544744</v>
      </c>
      <c r="AC95">
        <f t="shared" si="28"/>
        <v>4074.8508078184623</v>
      </c>
      <c r="AD95">
        <f t="shared" si="29"/>
        <v>943.03690123798685</v>
      </c>
      <c r="AE95">
        <f t="shared" si="30"/>
        <v>116.09166791254231</v>
      </c>
      <c r="AH95">
        <f t="shared" si="22"/>
        <v>2.4000000000000004</v>
      </c>
      <c r="AI95">
        <f t="shared" si="31"/>
        <v>0</v>
      </c>
      <c r="AJ95">
        <f t="shared" si="32"/>
        <v>0</v>
      </c>
      <c r="AK95">
        <f t="shared" si="33"/>
        <v>0</v>
      </c>
      <c r="AM95">
        <f t="shared" si="34"/>
        <v>0</v>
      </c>
      <c r="AN95">
        <f t="shared" si="35"/>
        <v>0</v>
      </c>
      <c r="AO95">
        <f t="shared" si="36"/>
        <v>0</v>
      </c>
      <c r="AP95">
        <f t="shared" si="23"/>
        <v>0</v>
      </c>
      <c r="AQ95">
        <f t="shared" si="24"/>
        <v>0</v>
      </c>
      <c r="AR95">
        <f t="shared" si="37"/>
        <v>0</v>
      </c>
    </row>
    <row r="96" spans="9:44" x14ac:dyDescent="0.25">
      <c r="I96">
        <v>93</v>
      </c>
      <c r="J96">
        <v>5</v>
      </c>
      <c r="K96">
        <v>12</v>
      </c>
      <c r="L96">
        <v>5</v>
      </c>
      <c r="M96">
        <v>12</v>
      </c>
      <c r="N96">
        <f t="shared" si="38"/>
        <v>5</v>
      </c>
      <c r="O96">
        <f t="shared" si="39"/>
        <v>1.1859512267301475E-2</v>
      </c>
      <c r="P96">
        <f t="shared" si="40"/>
        <v>2.8198935658622026E-2</v>
      </c>
      <c r="Q96">
        <v>93</v>
      </c>
      <c r="R96" t="str">
        <v>splash</v>
      </c>
      <c r="S96" t="str">
        <v>brace</v>
      </c>
      <c r="T96">
        <v>7.3407455343445873</v>
      </c>
      <c r="U96">
        <v>0.8</v>
      </c>
      <c r="V96">
        <v>0.02</v>
      </c>
      <c r="W96">
        <v>2824.1274844250038</v>
      </c>
      <c r="X96" t="str">
        <v>L3</v>
      </c>
      <c r="Z96">
        <f t="shared" si="25"/>
        <v>4.9407455343445879</v>
      </c>
      <c r="AA96">
        <f t="shared" si="26"/>
        <v>3.0925052683774563E-2</v>
      </c>
      <c r="AB96">
        <f t="shared" si="27"/>
        <v>1199.4236051818327</v>
      </c>
      <c r="AC96">
        <f t="shared" si="28"/>
        <v>2938.5878326954903</v>
      </c>
      <c r="AD96">
        <f t="shared" si="29"/>
        <v>680.07318413809912</v>
      </c>
      <c r="AE96">
        <f t="shared" si="30"/>
        <v>83.719767641691931</v>
      </c>
      <c r="AH96">
        <f>IF(Z96=0,T96,T96-Z96)</f>
        <v>2.3999999999999995</v>
      </c>
      <c r="AI96">
        <f t="shared" si="31"/>
        <v>0</v>
      </c>
      <c r="AJ96">
        <f t="shared" si="32"/>
        <v>0</v>
      </c>
      <c r="AK96">
        <f t="shared" si="33"/>
        <v>0</v>
      </c>
      <c r="AM96">
        <f t="shared" si="34"/>
        <v>0</v>
      </c>
      <c r="AN96">
        <f t="shared" si="35"/>
        <v>0</v>
      </c>
      <c r="AO96">
        <f t="shared" si="36"/>
        <v>0</v>
      </c>
      <c r="AP96">
        <f t="shared" si="23"/>
        <v>0</v>
      </c>
      <c r="AQ96">
        <f t="shared" si="24"/>
        <v>0</v>
      </c>
      <c r="AR96">
        <f t="shared" si="37"/>
        <v>0</v>
      </c>
    </row>
    <row r="97" spans="9:44" x14ac:dyDescent="0.25">
      <c r="I97">
        <v>94</v>
      </c>
      <c r="J97">
        <v>10</v>
      </c>
      <c r="K97">
        <v>12</v>
      </c>
      <c r="L97">
        <v>10</v>
      </c>
      <c r="M97">
        <v>12</v>
      </c>
      <c r="N97">
        <f t="shared" si="38"/>
        <v>10</v>
      </c>
      <c r="O97">
        <f t="shared" si="39"/>
        <v>2.3561944901923482E-2</v>
      </c>
      <c r="P97">
        <f t="shared" si="40"/>
        <v>2.8198935658622026E-2</v>
      </c>
      <c r="Q97">
        <v>94</v>
      </c>
      <c r="R97" t="str">
        <v>atmospheric</v>
      </c>
      <c r="S97" t="str">
        <v>brace</v>
      </c>
      <c r="T97">
        <v>6.7231619049372888</v>
      </c>
      <c r="U97">
        <v>0.8</v>
      </c>
      <c r="V97">
        <v>0.02</v>
      </c>
      <c r="W97">
        <v>2586.5310586151259</v>
      </c>
      <c r="X97" t="str">
        <v>L2</v>
      </c>
      <c r="Z97">
        <f t="shared" si="25"/>
        <v>4.3231619049372885</v>
      </c>
      <c r="AA97">
        <f t="shared" si="26"/>
        <v>4.9008845396000866E-2</v>
      </c>
      <c r="AB97">
        <f t="shared" si="27"/>
        <v>1663.2044113544744</v>
      </c>
      <c r="AC97">
        <f t="shared" si="28"/>
        <v>4074.8508078184623</v>
      </c>
      <c r="AD97">
        <f t="shared" si="29"/>
        <v>943.03690123798685</v>
      </c>
      <c r="AE97">
        <f t="shared" si="30"/>
        <v>116.09166791254231</v>
      </c>
      <c r="AH97">
        <f t="shared" si="22"/>
        <v>2.4000000000000004</v>
      </c>
      <c r="AI97">
        <f t="shared" si="31"/>
        <v>0</v>
      </c>
      <c r="AJ97">
        <f t="shared" si="32"/>
        <v>0</v>
      </c>
      <c r="AK97">
        <f t="shared" si="33"/>
        <v>0</v>
      </c>
      <c r="AM97">
        <f t="shared" si="34"/>
        <v>0</v>
      </c>
      <c r="AN97">
        <f t="shared" si="35"/>
        <v>0</v>
      </c>
      <c r="AO97">
        <f t="shared" si="36"/>
        <v>0</v>
      </c>
      <c r="AP97">
        <f t="shared" si="23"/>
        <v>0</v>
      </c>
      <c r="AQ97">
        <f t="shared" si="24"/>
        <v>0</v>
      </c>
      <c r="AR97">
        <f t="shared" si="37"/>
        <v>0</v>
      </c>
    </row>
    <row r="98" spans="9:44" x14ac:dyDescent="0.25">
      <c r="I98">
        <v>95</v>
      </c>
      <c r="J98">
        <v>5</v>
      </c>
      <c r="K98">
        <v>12</v>
      </c>
      <c r="L98">
        <v>5</v>
      </c>
      <c r="M98">
        <v>12</v>
      </c>
      <c r="N98">
        <f t="shared" si="38"/>
        <v>5</v>
      </c>
      <c r="O98">
        <f t="shared" si="39"/>
        <v>1.1859512267301475E-2</v>
      </c>
      <c r="P98">
        <f t="shared" si="40"/>
        <v>2.8198935658622026E-2</v>
      </c>
      <c r="Q98">
        <v>95</v>
      </c>
      <c r="R98" t="str">
        <v>splash</v>
      </c>
      <c r="S98" t="str">
        <v>brace</v>
      </c>
      <c r="T98">
        <v>7.3407455343445873</v>
      </c>
      <c r="U98">
        <v>0.8</v>
      </c>
      <c r="V98">
        <v>0.02</v>
      </c>
      <c r="W98">
        <v>2824.1274844250038</v>
      </c>
      <c r="X98" t="str">
        <v>L3</v>
      </c>
      <c r="Z98">
        <f t="shared" ref="Z98:Z107" si="41">IF(ISBLANK(Y98),IF(T98&gt;6,IF(S98="leg",T98-$D$4,T98-$D$5),0),Y98)</f>
        <v>4.9407455343445879</v>
      </c>
      <c r="AA98">
        <f t="shared" ref="AA98:AA107" si="42">IF(R98="splash",(PI()/4*(U98^2-(U98-2*(V98-$D$11*IF(S98="leg",$D$9,$D$10)))^2)),(PI()/4*(U98^2-(U98-2*(V98))^2)))</f>
        <v>3.0925052683774563E-2</v>
      </c>
      <c r="AB98">
        <f t="shared" ref="AB98:AB107" si="43">AA98*Z98*$D$7</f>
        <v>1199.4236051818327</v>
      </c>
      <c r="AC98">
        <f t="shared" ref="AC98:AC107" si="44">AB98*$D$13</f>
        <v>2938.5878326954903</v>
      </c>
      <c r="AD98">
        <f t="shared" ref="AD98:AD107" si="45">AB98*$D$14</f>
        <v>680.07318413809912</v>
      </c>
      <c r="AE98">
        <f t="shared" ref="AE98:AE107" si="46">AB98*$D$15</f>
        <v>83.719767641691931</v>
      </c>
      <c r="AH98">
        <f t="shared" ref="AH98:AH107" si="47">IF(Z98=0,T98,T98-Z98)</f>
        <v>2.3999999999999995</v>
      </c>
      <c r="AI98">
        <f t="shared" ref="AI98:AI107" si="48">IF(S98="leg",AH98*AA98*$D$7,0)</f>
        <v>0</v>
      </c>
      <c r="AJ98">
        <f t="shared" ref="AJ98:AJ107" si="49">IF(S98="leg",IF(Z98=0,AI98,AI98+O98*$D$7*AH98),0)</f>
        <v>0</v>
      </c>
      <c r="AK98">
        <f t="shared" ref="AK98:AK107" si="50">IF(S98="leg",IF(Z98=0,AI98,AI98+P98*$D$7*AH98),0)</f>
        <v>0</v>
      </c>
      <c r="AM98">
        <f>AJ98*$D$13</f>
        <v>0</v>
      </c>
      <c r="AN98">
        <f>AJ98*$D$14</f>
        <v>0</v>
      </c>
      <c r="AO98">
        <f t="shared" si="36"/>
        <v>0</v>
      </c>
      <c r="AP98">
        <f t="shared" si="23"/>
        <v>0</v>
      </c>
      <c r="AQ98">
        <f t="shared" si="24"/>
        <v>0</v>
      </c>
      <c r="AR98">
        <f t="shared" si="37"/>
        <v>0</v>
      </c>
    </row>
    <row r="99" spans="9:44" x14ac:dyDescent="0.25">
      <c r="I99">
        <v>96</v>
      </c>
      <c r="J99">
        <v>10</v>
      </c>
      <c r="K99">
        <v>12</v>
      </c>
      <c r="L99">
        <v>10</v>
      </c>
      <c r="M99">
        <v>12</v>
      </c>
      <c r="N99">
        <f t="shared" si="38"/>
        <v>10</v>
      </c>
      <c r="O99">
        <f t="shared" si="39"/>
        <v>2.3561944901923482E-2</v>
      </c>
      <c r="P99">
        <f t="shared" si="40"/>
        <v>2.8198935658622026E-2</v>
      </c>
      <c r="Q99">
        <v>96</v>
      </c>
      <c r="R99" t="str">
        <v>atmospheric</v>
      </c>
      <c r="S99" t="str">
        <v>brace</v>
      </c>
      <c r="T99">
        <v>6.7231619049372888</v>
      </c>
      <c r="U99">
        <v>0.8</v>
      </c>
      <c r="V99">
        <v>0.02</v>
      </c>
      <c r="W99">
        <v>2586.5310586151259</v>
      </c>
      <c r="X99" t="str">
        <v>L2</v>
      </c>
      <c r="Z99">
        <f t="shared" si="41"/>
        <v>4.3231619049372885</v>
      </c>
      <c r="AA99">
        <f t="shared" si="42"/>
        <v>4.9008845396000866E-2</v>
      </c>
      <c r="AB99">
        <f t="shared" si="43"/>
        <v>1663.2044113544744</v>
      </c>
      <c r="AC99">
        <f t="shared" si="44"/>
        <v>4074.8508078184623</v>
      </c>
      <c r="AD99">
        <f t="shared" si="45"/>
        <v>943.03690123798685</v>
      </c>
      <c r="AE99">
        <f t="shared" si="46"/>
        <v>116.09166791254231</v>
      </c>
      <c r="AH99">
        <f t="shared" si="47"/>
        <v>2.4000000000000004</v>
      </c>
      <c r="AI99">
        <f t="shared" si="48"/>
        <v>0</v>
      </c>
      <c r="AJ99">
        <f t="shared" si="49"/>
        <v>0</v>
      </c>
      <c r="AK99">
        <f t="shared" si="50"/>
        <v>0</v>
      </c>
      <c r="AM99">
        <f t="shared" ref="AM99:AM107" si="51">AJ99*$D$13</f>
        <v>0</v>
      </c>
      <c r="AN99">
        <f t="shared" ref="AN99:AN107" si="52">AJ99*$D$14</f>
        <v>0</v>
      </c>
      <c r="AO99">
        <f t="shared" si="36"/>
        <v>0</v>
      </c>
      <c r="AP99">
        <f t="shared" si="23"/>
        <v>0</v>
      </c>
      <c r="AQ99">
        <f t="shared" si="24"/>
        <v>0</v>
      </c>
      <c r="AR99">
        <f t="shared" si="37"/>
        <v>0</v>
      </c>
    </row>
    <row r="100" spans="9:44" x14ac:dyDescent="0.25">
      <c r="I100">
        <v>97</v>
      </c>
      <c r="J100">
        <v>5</v>
      </c>
      <c r="K100">
        <v>12</v>
      </c>
      <c r="L100">
        <v>5</v>
      </c>
      <c r="M100">
        <v>12</v>
      </c>
      <c r="N100">
        <f t="shared" si="38"/>
        <v>5</v>
      </c>
      <c r="O100">
        <f t="shared" si="39"/>
        <v>1.1859512267301475E-2</v>
      </c>
      <c r="P100">
        <f t="shared" si="40"/>
        <v>2.8198935658622026E-2</v>
      </c>
      <c r="Q100">
        <v>97</v>
      </c>
      <c r="R100" t="str">
        <v>splash</v>
      </c>
      <c r="S100" t="str">
        <v>brace</v>
      </c>
      <c r="T100">
        <v>7.3407455343445873</v>
      </c>
      <c r="U100">
        <v>0.8</v>
      </c>
      <c r="V100">
        <v>0.02</v>
      </c>
      <c r="W100">
        <v>2824.1274844250038</v>
      </c>
      <c r="X100" t="str">
        <v>L3</v>
      </c>
      <c r="Z100">
        <f t="shared" si="41"/>
        <v>4.9407455343445879</v>
      </c>
      <c r="AA100">
        <f t="shared" si="42"/>
        <v>3.0925052683774563E-2</v>
      </c>
      <c r="AB100">
        <f t="shared" si="43"/>
        <v>1199.4236051818327</v>
      </c>
      <c r="AC100">
        <f t="shared" si="44"/>
        <v>2938.5878326954903</v>
      </c>
      <c r="AD100">
        <f t="shared" si="45"/>
        <v>680.07318413809912</v>
      </c>
      <c r="AE100">
        <f t="shared" si="46"/>
        <v>83.719767641691931</v>
      </c>
      <c r="AH100">
        <f t="shared" si="47"/>
        <v>2.3999999999999995</v>
      </c>
      <c r="AI100">
        <f t="shared" si="48"/>
        <v>0</v>
      </c>
      <c r="AJ100">
        <f t="shared" si="49"/>
        <v>0</v>
      </c>
      <c r="AK100">
        <f t="shared" si="50"/>
        <v>0</v>
      </c>
      <c r="AM100">
        <f t="shared" si="51"/>
        <v>0</v>
      </c>
      <c r="AN100">
        <f t="shared" si="52"/>
        <v>0</v>
      </c>
      <c r="AO100">
        <f t="shared" si="36"/>
        <v>0</v>
      </c>
      <c r="AP100">
        <f t="shared" ref="AP100:AP107" si="53">AK100*$D$13</f>
        <v>0</v>
      </c>
      <c r="AQ100">
        <f t="shared" ref="AQ100:AQ107" si="54">AK100*$D$14</f>
        <v>0</v>
      </c>
      <c r="AR100">
        <f t="shared" si="37"/>
        <v>0</v>
      </c>
    </row>
    <row r="101" spans="9:44" x14ac:dyDescent="0.25">
      <c r="I101">
        <v>98</v>
      </c>
      <c r="J101">
        <v>10</v>
      </c>
      <c r="K101">
        <v>12</v>
      </c>
      <c r="L101">
        <v>10</v>
      </c>
      <c r="M101">
        <v>12</v>
      </c>
      <c r="N101">
        <f t="shared" si="38"/>
        <v>10</v>
      </c>
      <c r="O101">
        <f t="shared" si="39"/>
        <v>2.3561944901923482E-2</v>
      </c>
      <c r="P101">
        <f t="shared" si="40"/>
        <v>2.8198935658622026E-2</v>
      </c>
      <c r="Q101">
        <v>98</v>
      </c>
      <c r="R101" t="str">
        <v>atmospheric</v>
      </c>
      <c r="S101" t="str">
        <v>brace</v>
      </c>
      <c r="T101">
        <v>6.7231619049372888</v>
      </c>
      <c r="U101">
        <v>0.8</v>
      </c>
      <c r="V101">
        <v>0.02</v>
      </c>
      <c r="W101">
        <v>2586.5310586151259</v>
      </c>
      <c r="X101" t="str">
        <v>L2</v>
      </c>
      <c r="Z101">
        <f t="shared" si="41"/>
        <v>4.3231619049372885</v>
      </c>
      <c r="AA101">
        <f t="shared" si="42"/>
        <v>4.9008845396000866E-2</v>
      </c>
      <c r="AB101">
        <f t="shared" si="43"/>
        <v>1663.2044113544744</v>
      </c>
      <c r="AC101">
        <f t="shared" si="44"/>
        <v>4074.8508078184623</v>
      </c>
      <c r="AD101">
        <f t="shared" si="45"/>
        <v>943.03690123798685</v>
      </c>
      <c r="AE101">
        <f t="shared" si="46"/>
        <v>116.09166791254231</v>
      </c>
      <c r="AH101">
        <f t="shared" si="47"/>
        <v>2.4000000000000004</v>
      </c>
      <c r="AI101">
        <f t="shared" si="48"/>
        <v>0</v>
      </c>
      <c r="AJ101">
        <f t="shared" si="49"/>
        <v>0</v>
      </c>
      <c r="AK101">
        <f t="shared" si="50"/>
        <v>0</v>
      </c>
      <c r="AM101">
        <f t="shared" si="51"/>
        <v>0</v>
      </c>
      <c r="AN101">
        <f t="shared" si="52"/>
        <v>0</v>
      </c>
      <c r="AO101">
        <f t="shared" si="36"/>
        <v>0</v>
      </c>
      <c r="AP101">
        <f t="shared" si="53"/>
        <v>0</v>
      </c>
      <c r="AQ101">
        <f t="shared" si="54"/>
        <v>0</v>
      </c>
      <c r="AR101">
        <f t="shared" si="37"/>
        <v>0</v>
      </c>
    </row>
    <row r="102" spans="9:44" x14ac:dyDescent="0.25">
      <c r="I102">
        <v>99</v>
      </c>
      <c r="J102">
        <v>5</v>
      </c>
      <c r="K102">
        <v>12</v>
      </c>
      <c r="L102">
        <v>5</v>
      </c>
      <c r="N102">
        <f t="shared" si="38"/>
        <v>5</v>
      </c>
      <c r="O102">
        <f t="shared" si="39"/>
        <v>1.1859512267301475E-2</v>
      </c>
      <c r="P102">
        <f t="shared" si="40"/>
        <v>0</v>
      </c>
      <c r="Q102">
        <v>99</v>
      </c>
      <c r="R102" t="str">
        <v>splash</v>
      </c>
      <c r="S102" t="str">
        <v>brace</v>
      </c>
      <c r="T102">
        <v>7.3407455343445873</v>
      </c>
      <c r="U102">
        <v>0.8</v>
      </c>
      <c r="V102">
        <v>0.02</v>
      </c>
      <c r="W102">
        <v>2824.1274844250038</v>
      </c>
      <c r="X102" t="str">
        <v>L3</v>
      </c>
      <c r="Z102">
        <f t="shared" si="41"/>
        <v>4.9407455343445879</v>
      </c>
      <c r="AA102">
        <f t="shared" si="42"/>
        <v>3.0925052683774563E-2</v>
      </c>
      <c r="AB102">
        <f t="shared" si="43"/>
        <v>1199.4236051818327</v>
      </c>
      <c r="AC102">
        <f t="shared" si="44"/>
        <v>2938.5878326954903</v>
      </c>
      <c r="AD102">
        <f t="shared" si="45"/>
        <v>680.07318413809912</v>
      </c>
      <c r="AE102">
        <f t="shared" si="46"/>
        <v>83.719767641691931</v>
      </c>
      <c r="AH102">
        <f t="shared" si="47"/>
        <v>2.3999999999999995</v>
      </c>
      <c r="AI102">
        <f t="shared" si="48"/>
        <v>0</v>
      </c>
      <c r="AJ102">
        <f t="shared" si="49"/>
        <v>0</v>
      </c>
      <c r="AK102">
        <f t="shared" si="50"/>
        <v>0</v>
      </c>
      <c r="AM102">
        <f t="shared" si="51"/>
        <v>0</v>
      </c>
      <c r="AN102">
        <f t="shared" si="52"/>
        <v>0</v>
      </c>
      <c r="AO102">
        <f t="shared" si="36"/>
        <v>0</v>
      </c>
      <c r="AP102">
        <f t="shared" si="53"/>
        <v>0</v>
      </c>
      <c r="AQ102">
        <f t="shared" si="54"/>
        <v>0</v>
      </c>
      <c r="AR102">
        <f t="shared" si="37"/>
        <v>0</v>
      </c>
    </row>
    <row r="103" spans="9:44" x14ac:dyDescent="0.25">
      <c r="I103">
        <v>100</v>
      </c>
      <c r="J103">
        <v>10</v>
      </c>
      <c r="K103">
        <v>12</v>
      </c>
      <c r="L103">
        <v>10</v>
      </c>
      <c r="N103">
        <f t="shared" si="38"/>
        <v>10</v>
      </c>
      <c r="O103">
        <f t="shared" si="39"/>
        <v>2.3561944901923482E-2</v>
      </c>
      <c r="P103">
        <f t="shared" si="40"/>
        <v>0</v>
      </c>
      <c r="Q103">
        <v>100</v>
      </c>
      <c r="R103" t="str">
        <v>atmospheric</v>
      </c>
      <c r="S103" t="str">
        <v>brace</v>
      </c>
      <c r="T103">
        <v>6.7231619049372888</v>
      </c>
      <c r="U103">
        <v>0.8</v>
      </c>
      <c r="V103">
        <v>0.02</v>
      </c>
      <c r="W103">
        <v>2586.5310586151259</v>
      </c>
      <c r="X103" t="str">
        <v>L2</v>
      </c>
      <c r="Z103">
        <f t="shared" si="41"/>
        <v>4.3231619049372885</v>
      </c>
      <c r="AA103">
        <f t="shared" si="42"/>
        <v>4.9008845396000866E-2</v>
      </c>
      <c r="AB103">
        <f t="shared" si="43"/>
        <v>1663.2044113544744</v>
      </c>
      <c r="AC103">
        <f t="shared" si="44"/>
        <v>4074.8508078184623</v>
      </c>
      <c r="AD103">
        <f t="shared" si="45"/>
        <v>943.03690123798685</v>
      </c>
      <c r="AE103">
        <f t="shared" si="46"/>
        <v>116.09166791254231</v>
      </c>
      <c r="AH103">
        <f t="shared" si="47"/>
        <v>2.4000000000000004</v>
      </c>
      <c r="AI103">
        <f t="shared" si="48"/>
        <v>0</v>
      </c>
      <c r="AJ103">
        <f t="shared" si="49"/>
        <v>0</v>
      </c>
      <c r="AK103">
        <f t="shared" si="50"/>
        <v>0</v>
      </c>
      <c r="AM103">
        <f t="shared" si="51"/>
        <v>0</v>
      </c>
      <c r="AN103">
        <f t="shared" si="52"/>
        <v>0</v>
      </c>
      <c r="AO103">
        <f t="shared" si="36"/>
        <v>0</v>
      </c>
      <c r="AP103">
        <f t="shared" si="53"/>
        <v>0</v>
      </c>
      <c r="AQ103">
        <f t="shared" si="54"/>
        <v>0</v>
      </c>
      <c r="AR103">
        <f t="shared" si="37"/>
        <v>0</v>
      </c>
    </row>
    <row r="104" spans="9:44" x14ac:dyDescent="0.25">
      <c r="O104">
        <f t="shared" si="39"/>
        <v>0</v>
      </c>
      <c r="P104">
        <f t="shared" si="40"/>
        <v>0</v>
      </c>
      <c r="Q104">
        <v>101</v>
      </c>
      <c r="R104" t="str">
        <v>atmospheric</v>
      </c>
      <c r="S104" t="str">
        <v>leg</v>
      </c>
      <c r="T104">
        <v>4</v>
      </c>
      <c r="U104">
        <v>1.2</v>
      </c>
      <c r="V104">
        <v>0.04</v>
      </c>
      <c r="W104">
        <v>4577.1748325741864</v>
      </c>
      <c r="X104" t="str">
        <v>L2</v>
      </c>
      <c r="Z104">
        <f t="shared" si="41"/>
        <v>0</v>
      </c>
      <c r="AA104">
        <f t="shared" si="42"/>
        <v>0.14576989912656657</v>
      </c>
      <c r="AB104">
        <f t="shared" si="43"/>
        <v>0</v>
      </c>
      <c r="AC104">
        <f t="shared" si="44"/>
        <v>0</v>
      </c>
      <c r="AD104">
        <f t="shared" si="45"/>
        <v>0</v>
      </c>
      <c r="AE104">
        <f t="shared" si="46"/>
        <v>0</v>
      </c>
      <c r="AH104">
        <f t="shared" si="47"/>
        <v>4</v>
      </c>
      <c r="AI104">
        <f t="shared" si="48"/>
        <v>4577.1748325741901</v>
      </c>
      <c r="AJ104">
        <f t="shared" si="49"/>
        <v>4577.1748325741901</v>
      </c>
      <c r="AK104">
        <f t="shared" si="50"/>
        <v>4577.1748325741901</v>
      </c>
      <c r="AM104">
        <f t="shared" si="51"/>
        <v>11214.078339806767</v>
      </c>
      <c r="AN104">
        <f t="shared" si="52"/>
        <v>2595.2581300695656</v>
      </c>
      <c r="AO104">
        <f t="shared" si="36"/>
        <v>319.48680331367848</v>
      </c>
      <c r="AP104">
        <f t="shared" si="53"/>
        <v>11214.078339806767</v>
      </c>
      <c r="AQ104">
        <f t="shared" si="54"/>
        <v>2595.2581300695656</v>
      </c>
      <c r="AR104">
        <f t="shared" si="37"/>
        <v>319.48680331367848</v>
      </c>
    </row>
    <row r="105" spans="9:44" x14ac:dyDescent="0.25">
      <c r="O105">
        <f t="shared" si="39"/>
        <v>0</v>
      </c>
      <c r="P105">
        <f t="shared" si="40"/>
        <v>0</v>
      </c>
      <c r="Q105">
        <v>102</v>
      </c>
      <c r="R105" t="str">
        <v>atmospheric</v>
      </c>
      <c r="S105" t="str">
        <v>leg</v>
      </c>
      <c r="T105">
        <v>4</v>
      </c>
      <c r="U105">
        <v>1.2</v>
      </c>
      <c r="V105">
        <v>0.04</v>
      </c>
      <c r="W105">
        <v>4577.1748325741864</v>
      </c>
      <c r="X105" t="str">
        <v>L2</v>
      </c>
      <c r="Z105">
        <f t="shared" si="41"/>
        <v>0</v>
      </c>
      <c r="AA105">
        <f t="shared" si="42"/>
        <v>0.14576989912656657</v>
      </c>
      <c r="AB105">
        <f t="shared" si="43"/>
        <v>0</v>
      </c>
      <c r="AC105">
        <f t="shared" si="44"/>
        <v>0</v>
      </c>
      <c r="AD105">
        <f t="shared" si="45"/>
        <v>0</v>
      </c>
      <c r="AE105">
        <f t="shared" si="46"/>
        <v>0</v>
      </c>
      <c r="AH105">
        <f t="shared" si="47"/>
        <v>4</v>
      </c>
      <c r="AI105">
        <f t="shared" si="48"/>
        <v>4577.1748325741901</v>
      </c>
      <c r="AJ105">
        <f t="shared" si="49"/>
        <v>4577.1748325741901</v>
      </c>
      <c r="AK105">
        <f t="shared" si="50"/>
        <v>4577.1748325741901</v>
      </c>
      <c r="AM105">
        <f t="shared" si="51"/>
        <v>11214.078339806767</v>
      </c>
      <c r="AN105">
        <f t="shared" si="52"/>
        <v>2595.2581300695656</v>
      </c>
      <c r="AO105">
        <f t="shared" si="36"/>
        <v>319.48680331367848</v>
      </c>
      <c r="AP105">
        <f t="shared" si="53"/>
        <v>11214.078339806767</v>
      </c>
      <c r="AQ105">
        <f t="shared" si="54"/>
        <v>2595.2581300695656</v>
      </c>
      <c r="AR105">
        <f t="shared" si="37"/>
        <v>319.48680331367848</v>
      </c>
    </row>
    <row r="106" spans="9:44" x14ac:dyDescent="0.25">
      <c r="O106">
        <f t="shared" si="39"/>
        <v>0</v>
      </c>
      <c r="P106">
        <f t="shared" si="40"/>
        <v>0</v>
      </c>
      <c r="Q106">
        <v>103</v>
      </c>
      <c r="R106" t="str">
        <v>atmospheric</v>
      </c>
      <c r="S106" t="str">
        <v>leg</v>
      </c>
      <c r="T106">
        <v>4</v>
      </c>
      <c r="U106">
        <v>1.2</v>
      </c>
      <c r="V106">
        <v>0.04</v>
      </c>
      <c r="W106">
        <v>4577.1748325741864</v>
      </c>
      <c r="X106" t="str">
        <v>L2</v>
      </c>
      <c r="Z106">
        <f t="shared" si="41"/>
        <v>0</v>
      </c>
      <c r="AA106">
        <f t="shared" si="42"/>
        <v>0.14576989912656657</v>
      </c>
      <c r="AB106">
        <f t="shared" si="43"/>
        <v>0</v>
      </c>
      <c r="AC106">
        <f t="shared" si="44"/>
        <v>0</v>
      </c>
      <c r="AD106">
        <f t="shared" si="45"/>
        <v>0</v>
      </c>
      <c r="AE106">
        <f t="shared" si="46"/>
        <v>0</v>
      </c>
      <c r="AH106">
        <f t="shared" si="47"/>
        <v>4</v>
      </c>
      <c r="AI106">
        <f t="shared" si="48"/>
        <v>4577.1748325741901</v>
      </c>
      <c r="AJ106">
        <f t="shared" si="49"/>
        <v>4577.1748325741901</v>
      </c>
      <c r="AK106">
        <f t="shared" si="50"/>
        <v>4577.1748325741901</v>
      </c>
      <c r="AM106">
        <f t="shared" si="51"/>
        <v>11214.078339806767</v>
      </c>
      <c r="AN106">
        <f t="shared" si="52"/>
        <v>2595.2581300695656</v>
      </c>
      <c r="AO106">
        <f t="shared" si="36"/>
        <v>319.48680331367848</v>
      </c>
      <c r="AP106">
        <f t="shared" si="53"/>
        <v>11214.078339806767</v>
      </c>
      <c r="AQ106">
        <f t="shared" si="54"/>
        <v>2595.2581300695656</v>
      </c>
      <c r="AR106">
        <f t="shared" si="37"/>
        <v>319.48680331367848</v>
      </c>
    </row>
    <row r="107" spans="9:44" x14ac:dyDescent="0.25">
      <c r="O107">
        <f t="shared" si="39"/>
        <v>0</v>
      </c>
      <c r="P107">
        <f t="shared" si="40"/>
        <v>0</v>
      </c>
      <c r="Q107">
        <v>104</v>
      </c>
      <c r="R107" t="str">
        <v>atmospheric</v>
      </c>
      <c r="S107" t="str">
        <v>leg</v>
      </c>
      <c r="T107">
        <v>4</v>
      </c>
      <c r="U107">
        <v>1.2</v>
      </c>
      <c r="V107">
        <v>0.04</v>
      </c>
      <c r="W107">
        <v>4577.1748325741864</v>
      </c>
      <c r="X107" t="str">
        <v>L2</v>
      </c>
      <c r="Z107">
        <f t="shared" si="41"/>
        <v>0</v>
      </c>
      <c r="AA107">
        <f t="shared" si="42"/>
        <v>0.14576989912656657</v>
      </c>
      <c r="AB107">
        <f t="shared" si="43"/>
        <v>0</v>
      </c>
      <c r="AC107">
        <f t="shared" si="44"/>
        <v>0</v>
      </c>
      <c r="AD107">
        <f t="shared" si="45"/>
        <v>0</v>
      </c>
      <c r="AE107">
        <f t="shared" si="46"/>
        <v>0</v>
      </c>
      <c r="AH107">
        <f t="shared" si="47"/>
        <v>4</v>
      </c>
      <c r="AI107">
        <f t="shared" si="48"/>
        <v>4577.1748325741901</v>
      </c>
      <c r="AJ107">
        <f t="shared" si="49"/>
        <v>4577.1748325741901</v>
      </c>
      <c r="AK107">
        <f t="shared" si="50"/>
        <v>4577.1748325741901</v>
      </c>
      <c r="AM107">
        <f t="shared" si="51"/>
        <v>11214.078339806767</v>
      </c>
      <c r="AN107">
        <f t="shared" si="52"/>
        <v>2595.2581300695656</v>
      </c>
      <c r="AO107">
        <f t="shared" si="36"/>
        <v>319.48680331367848</v>
      </c>
      <c r="AP107">
        <f t="shared" si="53"/>
        <v>11214.078339806767</v>
      </c>
      <c r="AQ107">
        <f t="shared" si="54"/>
        <v>2595.2581300695656</v>
      </c>
      <c r="AR107">
        <f t="shared" si="37"/>
        <v>319.48680331367848</v>
      </c>
    </row>
    <row r="109" spans="9:44" x14ac:dyDescent="0.25">
      <c r="Z109" t="s">
        <v>69</v>
      </c>
      <c r="AB109">
        <f>SUM(AB4:AB107)</f>
        <v>313649.87231377466</v>
      </c>
      <c r="AC109">
        <f t="shared" ref="AC109:AE109" si="55">SUM(AC4:AC107)</f>
        <v>768442.18716874579</v>
      </c>
      <c r="AD109">
        <f t="shared" si="55"/>
        <v>177839.47760190984</v>
      </c>
      <c r="AE109">
        <f t="shared" si="55"/>
        <v>21892.76108750144</v>
      </c>
      <c r="AI109">
        <f>SUM(AI4:AI107)</f>
        <v>85451.053162997472</v>
      </c>
      <c r="AJ109">
        <f t="shared" ref="AJ109:AK109" si="56">SUM(AJ4:AJ107)</f>
        <v>93388.111073103442</v>
      </c>
      <c r="AK109">
        <f t="shared" si="56"/>
        <v>104380.66993437508</v>
      </c>
      <c r="AM109">
        <f t="shared" ref="AM109:AR109" si="57">SUM(AM4:AM107)</f>
        <v>228800.8721291034</v>
      </c>
      <c r="AN109">
        <f t="shared" si="57"/>
        <v>52951.05897844967</v>
      </c>
      <c r="AO109">
        <f t="shared" si="57"/>
        <v>6518.4901529026174</v>
      </c>
      <c r="AP109">
        <f t="shared" si="57"/>
        <v>255732.64133921897</v>
      </c>
      <c r="AQ109">
        <f t="shared" si="57"/>
        <v>59183.839852790668</v>
      </c>
      <c r="AR109">
        <f t="shared" si="57"/>
        <v>7285.7707614193787</v>
      </c>
    </row>
    <row r="110" spans="9:44" x14ac:dyDescent="0.25">
      <c r="AB110" t="s">
        <v>70</v>
      </c>
      <c r="AC110" t="s">
        <v>71</v>
      </c>
      <c r="AD110" t="s">
        <v>71</v>
      </c>
      <c r="AE110" t="s">
        <v>71</v>
      </c>
      <c r="AI110" t="s">
        <v>70</v>
      </c>
      <c r="AJ110" t="s">
        <v>70</v>
      </c>
      <c r="AK110" t="s">
        <v>70</v>
      </c>
      <c r="AM110" t="s">
        <v>71</v>
      </c>
      <c r="AN110" t="s">
        <v>71</v>
      </c>
      <c r="AO110" t="s">
        <v>95</v>
      </c>
      <c r="AP110" t="s">
        <v>71</v>
      </c>
      <c r="AQ110" t="s">
        <v>71</v>
      </c>
      <c r="AR110" t="s">
        <v>95</v>
      </c>
    </row>
    <row r="112" spans="9:44" x14ac:dyDescent="0.25">
      <c r="AC112">
        <f>AC109/1000</f>
        <v>768.44218716874582</v>
      </c>
      <c r="AD112">
        <f>AD109/1000</f>
        <v>177.83947760190983</v>
      </c>
      <c r="AE112">
        <f>AE109/1000</f>
        <v>21.892761087501441</v>
      </c>
      <c r="AI112">
        <f>AI109/1000</f>
        <v>85.451053162997468</v>
      </c>
      <c r="AJ112">
        <f t="shared" ref="AJ112" si="58">AJ109/1000</f>
        <v>93.388111073103445</v>
      </c>
      <c r="AK112">
        <f>AK109/1000</f>
        <v>104.38066993437508</v>
      </c>
      <c r="AM112">
        <f>AM109/1000</f>
        <v>228.8008721291034</v>
      </c>
      <c r="AN112">
        <f t="shared" ref="AN112:AO112" si="59">AN109/1000</f>
        <v>52.951058978449673</v>
      </c>
      <c r="AO112">
        <f t="shared" si="59"/>
        <v>6.5184901529026176</v>
      </c>
      <c r="AP112">
        <f>AP109/1000</f>
        <v>255.73264133921896</v>
      </c>
      <c r="AQ112">
        <f>AQ109/1000</f>
        <v>59.183839852790669</v>
      </c>
      <c r="AR112">
        <f>AR109/1000</f>
        <v>7.2857707614193785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members_full</vt:lpstr>
      <vt:lpstr>carbon_input</vt:lpstr>
      <vt:lpstr>Calculations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2026-08-20T22:00:13Z</dcterms:created>
  <dcterms:modified xsi:type="dcterms:W3CDTF">2026-08-25T15:53:00Z</dcterms:modified>
</cp:coreProperties>
</file>